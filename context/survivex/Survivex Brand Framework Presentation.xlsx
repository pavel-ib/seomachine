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anco/Desktop/"/>
    </mc:Choice>
  </mc:AlternateContent>
  <xr:revisionPtr revIDLastSave="0" documentId="8_{A7446704-B97F-1540-B4B8-A1CCA9559CF7}" xr6:coauthVersionLast="47" xr6:coauthVersionMax="47" xr10:uidLastSave="{00000000-0000-0000-0000-000000000000}"/>
  <bookViews>
    <workbookView xWindow="0" yWindow="760" windowWidth="30240" windowHeight="17860" xr2:uid="{00000000-000D-0000-FFFF-FFFF00000000}"/>
  </bookViews>
  <sheets>
    <sheet name="Brand Framework" sheetId="1" r:id="rId1"/>
    <sheet name="The Three Pillars" sheetId="2" r:id="rId2"/>
    <sheet name="Brand Voice" sheetId="3" r:id="rId3"/>
    <sheet name="Niche Strategy" sheetId="4" r:id="rId4"/>
    <sheet name="Competitive Landscape" sheetId="5" r:id="rId5"/>
    <sheet name="Roadmap" sheetId="6" r:id="rId6"/>
    <sheet name="Decision Matrix (Referenc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7" l="1"/>
  <c r="F11" i="7"/>
  <c r="D11" i="7"/>
  <c r="H10" i="7"/>
  <c r="F10" i="7"/>
  <c r="D10" i="7"/>
  <c r="H9" i="7"/>
  <c r="F9" i="7"/>
  <c r="D9" i="7"/>
  <c r="H8" i="7"/>
  <c r="F8" i="7"/>
  <c r="D8" i="7"/>
  <c r="H7" i="7"/>
  <c r="F7" i="7"/>
  <c r="D7" i="7"/>
  <c r="H6" i="7"/>
  <c r="F6" i="7"/>
  <c r="D6" i="7"/>
  <c r="H5" i="7"/>
  <c r="F5" i="7"/>
  <c r="D5" i="7"/>
  <c r="H4" i="7"/>
  <c r="F4" i="7"/>
  <c r="D4" i="7"/>
  <c r="H3" i="7"/>
  <c r="F3" i="7"/>
  <c r="D3" i="7"/>
  <c r="H2" i="7"/>
  <c r="F2" i="7"/>
  <c r="D2" i="7"/>
  <c r="D12" i="7" l="1"/>
  <c r="D14" i="7" s="1"/>
  <c r="H12" i="7"/>
  <c r="H14" i="7" s="1"/>
  <c r="F12" i="7"/>
  <c r="F14" i="7" s="1"/>
</calcChain>
</file>

<file path=xl/sharedStrings.xml><?xml version="1.0" encoding="utf-8"?>
<sst xmlns="http://schemas.openxmlformats.org/spreadsheetml/2006/main" count="328" uniqueCount="307">
  <si>
    <t>SURVIVEX BRAND FRAMEWORK</t>
  </si>
  <si>
    <t>Prepared. Organized. Life-saving.</t>
  </si>
  <si>
    <t>The confidence to act when it matters most.</t>
  </si>
  <si>
    <t>BRAND POSITION</t>
  </si>
  <si>
    <t>"Organization Under Pressure"</t>
  </si>
  <si>
    <t>SurviveX exists for the person who steps forward when everyone else stands still. We build premium, obsessively organized gear — and back it with training and community — so that when the moment comes, our customer doesn't fumble. They act.</t>
  </si>
  <si>
    <t>THE SURVIVEX CUSTOMER: THE PROTECTOR</t>
  </si>
  <si>
    <t>Who he is</t>
  </si>
  <si>
    <t>80% male, 28-45. Drives a 4Runner. Has a family. Takes his role as provider and protector seriously.</t>
  </si>
  <si>
    <t>What he values</t>
  </si>
  <si>
    <t>Preparedness, quality, organization. Not a prepper or tactical operator — an everyday person who refuses to be a bystander.</t>
  </si>
  <si>
    <t>His aspiration</t>
  </si>
  <si>
    <t>To be the one who handles it. The hero moment — helping someone at a car accident, on a trail, in an emergency. He hasn't done it yet, but he's preparing for the day he will.</t>
  </si>
  <si>
    <t>His gap</t>
  </si>
  <si>
    <t>He wants to be ready but he's not trained. His hands will shake. His mind will race. He needs gear that does the thinking so he can do the doing.</t>
  </si>
  <si>
    <t>How we serve him</t>
  </si>
  <si>
    <t>Color-coded, organized kits that bring clarity under pressure. Training that turns complex skills into clear steps. A community of people on the same journey.</t>
  </si>
  <si>
    <t>THE THREE PILLARS</t>
  </si>
  <si>
    <t>🔧  EQUIP</t>
  </si>
  <si>
    <t>Premium, organized gear</t>
  </si>
  <si>
    <t>The right tools, exactly where you need them. Color-coded, obsessively organized kits across outdoor, trauma, and survival.</t>
  </si>
  <si>
    <t>📚  TRAIN</t>
  </si>
  <si>
    <t>Courses and education</t>
  </si>
  <si>
    <t>From bystander to first responder. MARCH course, blog content, video guides. Complex skills made into clear, organized steps.</t>
  </si>
  <si>
    <t>🤝  UNITE</t>
  </si>
  <si>
    <t>Community and mission</t>
  </si>
  <si>
    <t>Protectors don't stand alone. Membership, saves &amp; stories, shared learning. The brand becomes a movement.</t>
  </si>
  <si>
    <t>CUSTOMER JOURNEY:  Equip → Train → Unite → Act</t>
  </si>
  <si>
    <t>Buy the kit. Learn the skills. Join the community. Be the Protector.
The confidence to act when it matters most.</t>
  </si>
  <si>
    <t>Equip · Train · Unite</t>
  </si>
  <si>
    <t>PILLAR 1: EQUIP — Premium, Organized Gear</t>
  </si>
  <si>
    <t>Element</t>
  </si>
  <si>
    <t>What</t>
  </si>
  <si>
    <t>Why It Matters</t>
  </si>
  <si>
    <t>Brand Promise</t>
  </si>
  <si>
    <t>"Clarity when seconds count"</t>
  </si>
  <si>
    <t>Every kit — outdoor, trauma, survival — shares the same organizational DNA. Open it and know what to reach for.</t>
  </si>
  <si>
    <t>Key Differentiator</t>
  </si>
  <si>
    <t>Organization Under Pressure</t>
  </si>
  <si>
    <t>Color-coded compartments, logical layout, clear labeling. The kit does the thinking so the Protector can act.</t>
  </si>
  <si>
    <t>Quality Standard</t>
  </si>
  <si>
    <t>Premium components only</t>
  </si>
  <si>
    <t>No filler items. Every component is selected by experts and field-tested. If it's not good enough for us, it's not in the kit.</t>
  </si>
  <si>
    <t>Niche Coverage</t>
  </si>
  <si>
    <t>Outdoor · Trauma · Survival</t>
  </si>
  <si>
    <t>Same organizational philosophy, tailored to each scenario. The inside experience is always unmistakably SurviveX.</t>
  </si>
  <si>
    <t>Revenue Model</t>
  </si>
  <si>
    <t>Kit sales + refills + inserts</t>
  </si>
  <si>
    <t>Initial kit purchase, then recurring revenue through consumable refills and modular inserts.</t>
  </si>
  <si>
    <t>PILLAR 2: TRAIN — From Bystander to First Responder</t>
  </si>
  <si>
    <t>Channel</t>
  </si>
  <si>
    <t>Description</t>
  </si>
  <si>
    <t>Status</t>
  </si>
  <si>
    <t>Impact</t>
  </si>
  <si>
    <t>MARCH Course</t>
  </si>
  <si>
    <t>Comprehensive trauma response course developed with Chase Carter (EMT-P). Structured, step-by-step — organization applied to knowledge.</t>
  </si>
  <si>
    <t>In development — 2026 launch</t>
  </si>
  <si>
    <t>Flagship training product. Converts kit buyers into trained responders.</t>
  </si>
  <si>
    <t>Blog / SEO Content</t>
  </si>
  <si>
    <t>Deep-dive educational articles: bleeding control, wound closure, choking response, gauze types. Expert-reviewed, not SEO fluff.</t>
  </si>
  <si>
    <t>Live — 4 articles published/in progress</t>
  </si>
  <si>
    <t>Drives organic traffic, builds authority, supports product sales.</t>
  </si>
  <si>
    <t>Video Guides</t>
  </si>
  <si>
    <t>Short-form how-to content for each kit and key skills. Visual, step-by-step format matching the organized kit philosophy.</t>
  </si>
  <si>
    <t>Planned</t>
  </si>
  <si>
    <t>Reduces purchase anxiety, increases confidence, supports courses.</t>
  </si>
  <si>
    <t>In-Kit Training Cards</t>
  </si>
  <si>
    <t>Quick-reference cards inside every kit. Color-coded to match compartments. When stress is high, read the card, grab the item.</t>
  </si>
  <si>
    <t>Current feature</t>
  </si>
  <si>
    <t>Bridges gap between buying gear and knowing how to use it.</t>
  </si>
  <si>
    <t>PILLAR 3: UNITE — Protectors Don't Stand Alone</t>
  </si>
  <si>
    <t>Value to Customer</t>
  </si>
  <si>
    <t>Value to SurviveX</t>
  </si>
  <si>
    <t>Membership</t>
  </si>
  <si>
    <t>Paid community with exclusive training content, early product access, and member forums.</t>
  </si>
  <si>
    <t>Ongoing learning, belonging, identity as a Protector.</t>
  </si>
  <si>
    <t>Recurring revenue, retention, direct customer relationship.</t>
  </si>
  <si>
    <t>Saves &amp; Stories</t>
  </si>
  <si>
    <t>Real stories from customers who used their kit and training in actual emergencies.</t>
  </si>
  <si>
    <t>Inspiration, validation that preparation matters.</t>
  </si>
  <si>
    <t>Most powerful marketing content possible. Social proof that converts.</t>
  </si>
  <si>
    <t>Community Events</t>
  </si>
  <si>
    <t>Online challenges, local meetups, training days. Building real connections around shared values.</t>
  </si>
  <si>
    <t>Network of like-minded people. Accountability.</t>
  </si>
  <si>
    <t>Brand loyalty, word-of-mouth, content generation.</t>
  </si>
  <si>
    <t>PILLAR 4: ACT — The Moment of Truth</t>
  </si>
  <si>
    <t>The Hero Moment</t>
  </si>
  <si>
    <t>Everything — gear, training, community — converges when someone needs help. The Protector doesn't freeze. They act.</t>
  </si>
  <si>
    <t>The payoff of their entire journey. The moment they've been preparing for.</t>
  </si>
  <si>
    <t>The ultimate brand proof point. Every save validates the entire ecosystem.</t>
  </si>
  <si>
    <t>Real accounts from SurviveX customers who used their gear and training in actual emergencies.</t>
  </si>
  <si>
    <t>Inspiration that preparation matters. Proof it works.</t>
  </si>
  <si>
    <t>Most powerful marketing content possible. Authentic, emotional, shareable.</t>
  </si>
  <si>
    <t>The Tagline Promise</t>
  </si>
  <si>
    <t>"The confidence to act when it matters most." Every pillar leads here — Equip gives tools, Train gives skills, Unite gives support, Act is the result.</t>
  </si>
  <si>
    <t>A clear, aspirational identity: I am someone who acts.</t>
  </si>
  <si>
    <t>Brand loyalty beyond product features. Identity-level connection.</t>
  </si>
  <si>
    <t>SURVIVEX BRAND VOICE</t>
  </si>
  <si>
    <t>How We Sound Across Every Touchpoint</t>
  </si>
  <si>
    <t>VOICE ATTRIBUTES</t>
  </si>
  <si>
    <t>Attribute</t>
  </si>
  <si>
    <t>SurviveX IS</t>
  </si>
  <si>
    <t>SurviveX IS NOT</t>
  </si>
  <si>
    <t>Tone</t>
  </si>
  <si>
    <t>Calm, confident, direct. Like a friend who happens to be an EMT — reassuring without being condescending.</t>
  </si>
  <si>
    <t>Panicky, preachy, fear-mongering, or 'tacticool.' We never sell through anxiety.</t>
  </si>
  <si>
    <t>Expertise</t>
  </si>
  <si>
    <t>Practical and earned. We cite real experience (Chase Carter, EMT-P), real scenarios, real data. We've done the research so you don't have to.</t>
  </si>
  <si>
    <t>Academic, gatekeeping, or jargon-heavy. We never make the customer feel stupid for not knowing something.</t>
  </si>
  <si>
    <t>Motivation</t>
  </si>
  <si>
    <t>Responsibility, love, quiet confidence. The Protector prepares because he cares about the people around him.</t>
  </si>
  <si>
    <t>Fear, paranoia, doomsday thinking. We're not selling bunkers. We're building capable, confident people.</t>
  </si>
  <si>
    <t>Humor</t>
  </si>
  <si>
    <t>Dry, occasional, human. We're real people talking to real people.</t>
  </si>
  <si>
    <t>Tactical bro culture, meme-heavy, edgy. We don't try to be cool — we try to be useful.</t>
  </si>
  <si>
    <t>Customer View</t>
  </si>
  <si>
    <t>A capable adult building a skill set. Someone we respect and want to equip.</t>
  </si>
  <si>
    <t>A helpless person who needs saving. We never talk down.</t>
  </si>
  <si>
    <t>Complexity</t>
  </si>
  <si>
    <t>We simplify without dumbing down. Organization is our superpower — in products AND in communication.</t>
  </si>
  <si>
    <t>Oversimplified clickbait or overwhelming walls of medical text. We find the middle ground.</t>
  </si>
  <si>
    <t>VOICE IN PRACTICE — EXAMPLES</t>
  </si>
  <si>
    <t>Context</t>
  </si>
  <si>
    <t>✅ On-Brand</t>
  </si>
  <si>
    <t>❌ Off-Brand</t>
  </si>
  <si>
    <t>Product description</t>
  </si>
  <si>
    <t>Every compartment is color-coded and labeled so you reach for the right thing — even when your hands are shaking.</t>
  </si>
  <si>
    <t>MILITARY-GRADE tactical first aid kit with MOLLE webbing for OPERATORS who demand the BEST.</t>
  </si>
  <si>
    <t>Blog intro</t>
  </si>
  <si>
    <t>Most people have a first aid kit somewhere. Fewer know how to use what's inside. Here's how to change that.</t>
  </si>
  <si>
    <t>In today's DANGEROUS world, you NEED to be prepared for ANYTHING. Are YOU ready?!</t>
  </si>
  <si>
    <t>Social media</t>
  </si>
  <si>
    <t>Your kit is only as good as your ability to use it. That's why we built the MARCH course — real trauma training, organized into clear steps.</t>
  </si>
  <si>
    <t>🔥🔥 STOP SCROLLING 🔥🔥 This kit could SAVE YOUR LIFE!! Don't be caught unprepared!!!</t>
  </si>
  <si>
    <t>Email subject</t>
  </si>
  <si>
    <t>What's actually inside your first aid kit (and what's missing)</t>
  </si>
  <si>
    <t>⚠️ URGENT: Are you PREPARED for disaster?? ⚠️</t>
  </si>
  <si>
    <t>Course promo</t>
  </si>
  <si>
    <t>Chase Carter has responded to hundreds of emergencies as a paramedic. He designed this course so you'll know exactly what to do in your first one.</t>
  </si>
  <si>
    <t>Learn from an ELITE first responder! This course will turn you into a TACTICAL MEDIC!</t>
  </si>
  <si>
    <t>THREE NICHES, ONE BRAND</t>
  </si>
  <si>
    <t>How SurviveX Stays Cohesive Across Categories</t>
  </si>
  <si>
    <t>SAME PROTECTOR — DIFFERENT MOMENT</t>
  </si>
  <si>
    <t>The person buying an outdoor first aid kit and the person buying a trauma IFAK are often the same person at different points in their preparedness journey. The framework unifies them — not by making every product look identical, but by making every product deliver the same promise: organization under pressure, backed by expert knowledge, for people who refuse to be bystanders.</t>
  </si>
  <si>
    <t>🏕  OUTDOOR</t>
  </si>
  <si>
    <t>🩸  TRAUMA / TACTICAL</t>
  </si>
  <si>
    <t>⚡  SURVIVAL</t>
  </si>
  <si>
    <t>WHAT'S CONSISTENT</t>
  </si>
  <si>
    <t>The Scenario</t>
  </si>
  <si>
    <t>Trail injury, campsite emergency, backcountry incident</t>
  </si>
  <si>
    <t>Severe bleeding, car accident, active shooter, range injury</t>
  </si>
  <si>
    <t>Natural disaster, power grid failure, extended off-grid emergency</t>
  </si>
  <si>
    <t>Organization under pressure — every scenario demands clarity when stress is high</t>
  </si>
  <si>
    <t>The Customer Mindset</t>
  </si>
  <si>
    <t>"I want to be prepared for our family camping trips"</t>
  </si>
  <si>
    <t>"I want to be able to stop severe bleeding if I ever need to"</t>
  </si>
  <si>
    <t>"I want my family to survive if infrastructure fails"</t>
  </si>
  <si>
    <t>The Protector: someone who takes responsibility for the people around them</t>
  </si>
  <si>
    <t>Competes Against</t>
  </si>
  <si>
    <t>Adventure Medical Kits, Surviveware, generic Amazon kits</t>
  </si>
  <si>
    <t>North American Rescue, Dark Angel Medical, Rhino Rescue</t>
  </si>
  <si>
    <t>Everlit, ReadyWise, Sustain Supply</t>
  </si>
  <si>
    <t>SurviveX competes on ORGANIZATION and QUALITY in every category</t>
  </si>
  <si>
    <t>Product Look &amp; Feel</t>
  </si>
  <si>
    <t>Approachable, outdoor colors, soft case, family-friendly</t>
  </si>
  <si>
    <t>Tactical aesthetic, MOLLE-compatible, darker palette, compact</t>
  </si>
  <si>
    <t>Rugged, larger format, modular, weather-resistant</t>
  </si>
  <si>
    <t>SurviveX logo, color-coded internals, premium materials, expert-selected components</t>
  </si>
  <si>
    <t>Blog/Content Tone</t>
  </si>
  <si>
    <t>Friendly, educational, scenario-based ("what to pack for a family hike")</t>
  </si>
  <si>
    <t>Confident, expert-driven, protocol-based ("MARCH framework for trauma")</t>
  </si>
  <si>
    <t>Practical, thorough, systems-thinking ("72-hour preparedness checklist")</t>
  </si>
  <si>
    <t>Same voice throughout: calm authority, practical, never fear-based</t>
  </si>
  <si>
    <t>Amazon Keywords</t>
  </si>
  <si>
    <t>First aid kit camping, outdoor first aid, hiking first aid kit</t>
  </si>
  <si>
    <t>Trauma kit, IFAK, tactical first aid, bleeding control</t>
  </si>
  <si>
    <t>Survival kit, emergency preparedness kit, 72 hour kit</t>
  </si>
  <si>
    <t>All listings emphasize: organized, color-coded, premium, expert-reviewed</t>
  </si>
  <si>
    <t>DTC Website</t>
  </si>
  <si>
    <t>Part of the Outdoor collection — lifestyle photography, family/nature imagery</t>
  </si>
  <si>
    <t>Part of the Tactical collection — field photography, training imagery</t>
  </si>
  <si>
    <t>Part of the Survival collection — preparedness scenarios, home/vehicle</t>
  </si>
  <si>
    <t>One site, one voice, one framework. Collections differ visually; brand DNA is identical.</t>
  </si>
  <si>
    <t>A NOTE ON PRODUCT DESIGN ACROSS NICHES</t>
  </si>
  <si>
    <t>Think Toyota: a Tacoma and a 4Runner share ~70-80% DNA — same quality, same reliability promise, same badge on the front. But a Tacoma looks like a truck and a 4Runner looks like an SUV, because they compete in different segments against different vehicles.
SurviveX products should share that same 70-80%: the logo, the color-coded organization system, the premium materials, the unboxing experience. That's the brand layer — and it's immediately recognizable regardless of category.
The remaining 20-30% adapts to the market: a trauma IFAK needs to look like it belongs next to a NAR kit on a plate carrier. An outdoor kit needs to feel approachable to a mom packing for a family camping trip. This isn't inconsistency — it's smart market fit. The framework, voice, and internal experience are what make it all unmistakably SurviveX.</t>
  </si>
  <si>
    <t>COMPETITIVE LANDSCAPE</t>
  </si>
  <si>
    <t>Where SurviveX Fits — And Where We Win</t>
  </si>
  <si>
    <t>BRANDS SPANNING MULTIPLE NICHES</t>
  </si>
  <si>
    <t>Brand</t>
  </si>
  <si>
    <t>Niches Covered</t>
  </si>
  <si>
    <t>Unifying Strategy</t>
  </si>
  <si>
    <t>DTC Success?</t>
  </si>
  <si>
    <t>What SurviveX Can Learn</t>
  </si>
  <si>
    <t>Uncharted Supply Co.</t>
  </si>
  <si>
    <t>Survival, first aid, outdoor, auto, power, knives, apparel</t>
  </si>
  <si>
    <t>"Four Pillars" framework (Resources, Resourcefulness, Community, Fitness). Premium lifestyle positioning. YETI collab.</t>
  </si>
  <si>
    <t>Strong — raised Series A, hired ex-GoPro CMO</t>
  </si>
  <si>
    <t>Framework-driven brand works. Their pillars tie wildly different products together. Our Equip/Train/Unite/Act does the same.</t>
  </si>
  <si>
    <t>MyMedic</t>
  </si>
  <si>
    <t>Outdoor first aid, trauma, range, vehicle, dog/pet, kid</t>
  </si>
  <si>
    <t>Medical authority + "saves &amp; stories." Built in USA, lifetime guarantee, expert-curated.</t>
  </si>
  <si>
    <t>Strong DTC + Amazon</t>
  </si>
  <si>
    <t>Credibility-first approach. Their 124-article blog drives traffic. We're building the same with deeper content and Chase Carter.</t>
  </si>
  <si>
    <t>North American Rescue</t>
  </si>
  <si>
    <t>Trauma, tactical, military, EMS, civilian</t>
  </si>
  <si>
    <t>Quality standard as brand identity. If NAR makes it, it's medical-grade.</t>
  </si>
  <si>
    <t>Strong — institution in trauma</t>
  </si>
  <si>
    <t>They own "trusted" in trauma. We can't out-NAR NAR. We differentiate with organization + accessibility for non-experts.</t>
  </si>
  <si>
    <t>Everlit</t>
  </si>
  <si>
    <t>Tactical, survival, outdoor, bug-out, vehicle</t>
  </si>
  <si>
    <t>Wide Amazon catalog, keyword coverage. Minimal brand identity.</t>
  </si>
  <si>
    <t>Weak DTC — Amazon dependent</t>
  </si>
  <si>
    <t>Shows the risk of being everything on Amazon with no brand voice. They're a cautionary tale for why we need this framework.</t>
  </si>
  <si>
    <t>Rhino Rescue</t>
  </si>
  <si>
    <t>Trauma, tactical, IFAK</t>
  </si>
  <si>
    <t>Aggressive Amazon pricing, military aesthetic</t>
  </si>
  <si>
    <t>Very weak DTC</t>
  </si>
  <si>
    <t>Same lesson as Everlit. Competing on price/keywords without brand = no DTC future.</t>
  </si>
  <si>
    <t>Adventure Medical Kits</t>
  </si>
  <si>
    <t>Outdoor, marine, travel, dog</t>
  </si>
  <si>
    <t>Outdoor-first identity, clean design, scenario-based collections (Ultralight, Mountain, Marine)</t>
  </si>
  <si>
    <t>Moderate — established brand, less DTC-forward</t>
  </si>
  <si>
    <t>Good niche segmentation within outdoor, but they don't cross into trauma/survival. SurviveX can go wider.</t>
  </si>
  <si>
    <t>SURVIVEX COMPETITIVE ADVANTAGE</t>
  </si>
  <si>
    <t>Nobody owns "organization under pressure." MyMedic owns medical credibility. NAR owns tactical trust. Uncharted owns premium lifestyle. Everlit and Rhino compete on Amazon keywords. SurviveX's white space is: organized, premium gear + structured training + community, for the everyday Protector who isn't an expert but takes the responsibility seriously. That's a defensible, scalable position.</t>
  </si>
  <si>
    <t>BRAND ROADMAP 2026</t>
  </si>
  <si>
    <t>Timeline</t>
  </si>
  <si>
    <t>Action</t>
  </si>
  <si>
    <t>Pillar</t>
  </si>
  <si>
    <t>Expected Impact</t>
  </si>
  <si>
    <t>NOW</t>
  </si>
  <si>
    <t>Continue blog content pipeline (articles #4-10)</t>
  </si>
  <si>
    <t>TRAIN</t>
  </si>
  <si>
    <t>SEO traffic, authority building, supports all product categories</t>
  </si>
  <si>
    <t>Finalize brand voice guide (this document)</t>
  </si>
  <si>
    <t>ALL</t>
  </si>
  <si>
    <t>Consistent messaging across website, Amazon, email, social</t>
  </si>
  <si>
    <t>Q2 2026</t>
  </si>
  <si>
    <t>Launch trauma/tactical product line</t>
  </si>
  <si>
    <t>EQUIP</t>
  </si>
  <si>
    <t>Enter new niche with established brand framework already in place</t>
  </si>
  <si>
    <t>MARCH course completion (Chase Carter)</t>
  </si>
  <si>
    <t>Flagship training product, membership anchor content</t>
  </si>
  <si>
    <t>Q2-Q3 2026</t>
  </si>
  <si>
    <t>Website redesign with framework-driven navigation</t>
  </si>
  <si>
    <t>Collections by scenario, unified voice, blog as central hub</t>
  </si>
  <si>
    <t>Q3 2026</t>
  </si>
  <si>
    <t>Launch membership / community</t>
  </si>
  <si>
    <t>UNITE</t>
  </si>
  <si>
    <t>Recurring revenue, retention, brand loyalty, user-generated content</t>
  </si>
  <si>
    <t>Survival product line expansion</t>
  </si>
  <si>
    <t>Third niche activated, framework already proven across two categories</t>
  </si>
  <si>
    <t>Q4 2026</t>
  </si>
  <si>
    <t>Saves &amp; Stories campaign</t>
  </si>
  <si>
    <t>Social proof at scale, community content, powerful marketing asset</t>
  </si>
  <si>
    <t>ONGOING</t>
  </si>
  <si>
    <t>Content across all three niches, always on-voice</t>
  </si>
  <si>
    <t>Every article reinforces the Protector identity regardless of product category</t>
  </si>
  <si>
    <t>Criteria</t>
  </si>
  <si>
    <t>Weight
(1-10)</t>
  </si>
  <si>
    <t>Keep Branding
Score (1-10)</t>
  </si>
  <si>
    <t>Keep
Weighted</t>
  </si>
  <si>
    <t>Remove Branding
Score (1-10)</t>
  </si>
  <si>
    <t>Remove
Weighted</t>
  </si>
  <si>
    <t>Hybrid (Patch+Logo)
Score (1-10)</t>
  </si>
  <si>
    <t>Hybrid
Weighted</t>
  </si>
  <si>
    <t>Rationale</t>
  </si>
  <si>
    <t>Brand visibility on Amazon (thumbnails, search)</t>
  </si>
  <si>
    <t>Large logo pops in thumbnails; MOLLE looks generic; patch is visible but smaller</t>
  </si>
  <si>
    <t>Content/asset continuity (photos, videos, ads)</t>
  </si>
  <si>
    <t>Keep = zero rework; Remove = reshoot everything; Hybrid = partial reshoot. It costs us HUGE on TikTok to get assets that are winning. How will we redo them, what will that cost to get LUSH to make then again, for example?</t>
  </si>
  <si>
    <t>Trademark/IP protection &amp; reinforcement</t>
  </si>
  <si>
    <t>Permanent mark reinforces TM daily; removable patch can be swapped/lost; hybrid still shows mark</t>
  </si>
  <si>
    <t>Patent defensibility (current design pending)</t>
  </si>
  <si>
    <t>Current design is what's filed; major change weakens claim; hybrid keeps design mostly intact</t>
  </si>
  <si>
    <t>Customer preference (tactical/MOLLE market)</t>
  </si>
  <si>
    <t>Tactical buyers prefer clean MOLLE; Keep is polarizing for that segment; hybrid gives them options</t>
  </si>
  <si>
    <t>Manufacturing cost &amp; simplicity</t>
  </si>
  <si>
    <t>Current process is dialed in; MOLLE-only maybe be slightly cheaper(let's verify, it may even be more expensive due to more stitching); hybrid adds complexity (MOLLE + patch + logo)</t>
  </si>
  <si>
    <t>Counterfeit/copy resistance</t>
  </si>
  <si>
    <t>Permanent branding is hard to fake; anyone can buy blank MOLLE pouches; patch helps but is removable</t>
  </si>
  <si>
    <t>Future flexibility (B2B, white-label, co-brand)</t>
  </si>
  <si>
    <t>Keep is rigid; Remove = infinitely flexible; Hybrid = good flexibility with base brand intact</t>
  </si>
  <si>
    <t>Competitor differentiation</t>
  </si>
  <si>
    <t>Bold branding stands out vs sea of generic tactical bags; Remove makes us look like everyone else</t>
  </si>
  <si>
    <t>Revenue risk (changing what's working)</t>
  </si>
  <si>
    <t>Keep = proven winner, zero risk; Remove = gambling the #1 seller; Hybrid = moderate change</t>
  </si>
  <si>
    <t>TOTAL WEIGHTED SCORE</t>
  </si>
  <si>
    <t>MAX POSSIBLE (740)</t>
  </si>
  <si>
    <t>Competitor Examples (Branding Removals)</t>
  </si>
  <si>
    <t>Notes:</t>
  </si>
  <si>
    <t>Surviveware Mini First Aid Kit - Heyday's only design</t>
  </si>
  <si>
    <t>Swiss Safe had big branding - they did well</t>
  </si>
  <si>
    <t>Everlit has minimal branding, but their target audience is tactical buyers</t>
  </si>
  <si>
    <t>Other Notes</t>
  </si>
  <si>
    <t>First Aid Kits are not fashion items. That can stay the same for a very long time and not go out of style. Remember when we were at that museum in DC? First aid kits from 100 years ago still look like the kits around today.</t>
  </si>
  <si>
    <t>Score</t>
  </si>
  <si>
    <t>Was the only kit Heyday launched, they removed the branding to be more like Everlit, and failed. They stepped out of their lane.</t>
  </si>
  <si>
    <t>Surviveware Large First Aid Kit</t>
  </si>
  <si>
    <t>This used to be a $400k per month ASIN. The best seller in revenue apart from FirstAidOnly's small kit. Big branding and trademarked Cross for defense.</t>
  </si>
  <si>
    <t>Used the be the best seller in the camping first aid kit niche in terms of units sold. Big branding</t>
  </si>
  <si>
    <t>If you look at all their images, everything is about army. Therefore tactical appeal. Currently our main model is a good looking woman to appeal to men, but not necessarily army guys.</t>
  </si>
  <si>
    <t>MyMedic has minimal branding, buttheir target audience is tactical buyers</t>
  </si>
  <si>
    <t>They sell a lot of trauma gear and are known for tactical kits, it takes a long time to build this authority. We are starting from zero and can gradually get there. Our new first aid backpack and trauma kit is a step in that direction. But we have our core audience, and we should not just step out of our lane.</t>
  </si>
  <si>
    <t>Our current customers are not tactical buyers - they are everyday men looking to be prepared for their families. They may or may not own a gun.</t>
  </si>
  <si>
    <t>That said, when we create our trauma kit, it will be geared more towards tactical buyers, meaning we enter a new market with new customers. But changing our entire line to fit the tactical customers, which we don't currently serve, and has not been responsible for the brand's success, doesn't make sense.</t>
  </si>
  <si>
    <t>As opposed to products off-Amazon, creating a new style means changing our listing, not launching a new ASIN. We risk hurting what's working and rolling it back will be very 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</si>
</sst>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20"/>
      <color rgb="FFFFFFFF"/>
      <name val="Calibri"/>
      <family val="2"/>
    </font>
    <font>
      <sz val="14"/>
      <color rgb="FFDDDDDD"/>
      <name val="Calibri"/>
      <family val="2"/>
    </font>
    <font>
      <b/>
      <sz val="16"/>
      <color rgb="FF1A1A1A"/>
      <name val="Calibri"/>
      <family val="2"/>
    </font>
    <font>
      <b/>
      <sz val="16"/>
      <color rgb="FFC0392B"/>
      <name val="Calibri"/>
      <family val="2"/>
    </font>
    <font>
      <sz val="11"/>
      <color rgb="FF4A4A4A"/>
      <name val="Calibri"/>
      <family val="2"/>
    </font>
    <font>
      <b/>
      <sz val="11"/>
      <color rgb="FF1A1A1A"/>
      <name val="Calibri"/>
      <family val="2"/>
    </font>
    <font>
      <b/>
      <sz val="13"/>
      <color rgb="FFC0392B"/>
      <name val="Calibri"/>
      <family val="2"/>
    </font>
    <font>
      <b/>
      <sz val="14"/>
      <color rgb="FFC0392B"/>
      <name val="Calibri"/>
      <family val="2"/>
    </font>
    <font>
      <i/>
      <sz val="11"/>
      <color rgb="FF4A4A4A"/>
      <name val="Calibri"/>
      <family val="2"/>
    </font>
    <font>
      <b/>
      <sz val="12"/>
      <color rgb="FFFFFFFF"/>
      <name val="Calibri"/>
      <family val="2"/>
    </font>
    <font>
      <b/>
      <sz val="11"/>
      <color rgb="FFC0392B"/>
      <name val="Calibri"/>
      <family val="2"/>
    </font>
    <font>
      <sz val="11"/>
      <name val="Calibri"/>
      <family val="2"/>
    </font>
    <font>
      <i/>
      <sz val="14"/>
      <color rgb="FF4A4A4A"/>
      <name val="Calibri"/>
      <family val="2"/>
    </font>
    <font>
      <sz val="11"/>
      <color theme="1"/>
      <name val="Calibri"/>
      <family val="2"/>
      <scheme val="minor"/>
    </font>
    <font>
      <b/>
      <sz val="11"/>
      <color rgb="FFFFFFFF"/>
      <name val="Calibri"/>
      <family val="2"/>
    </font>
    <font>
      <b/>
      <sz val="11"/>
      <name val="Calibri"/>
      <family val="2"/>
    </font>
    <font>
      <sz val="10"/>
      <color rgb="FF555555"/>
      <name val="Calibri"/>
      <family val="2"/>
    </font>
    <font>
      <b/>
      <sz val="12"/>
      <name val="Calibri"/>
      <family val="2"/>
    </font>
    <font>
      <b/>
      <sz val="11"/>
      <color rgb="FF888888"/>
      <name val="Calibri"/>
      <family val="2"/>
    </font>
    <font>
      <b/>
      <sz val="11"/>
      <color theme="1"/>
      <name val="Calibri"/>
      <family val="2"/>
      <scheme val="minor"/>
    </font>
  </fonts>
  <fills count="17">
    <fill>
      <patternFill patternType="none"/>
    </fill>
    <fill>
      <patternFill patternType="gray125"/>
    </fill>
    <fill>
      <patternFill patternType="solid">
        <fgColor rgb="FF1A1A1A"/>
        <bgColor rgb="FF1A1A1A"/>
      </patternFill>
    </fill>
    <fill>
      <patternFill patternType="solid">
        <fgColor rgb="FF2D2D2D"/>
        <bgColor rgb="FF2D2D2D"/>
      </patternFill>
    </fill>
    <fill>
      <patternFill patternType="solid">
        <fgColor rgb="FFFADBD8"/>
        <bgColor rgb="FFFADBD8"/>
      </patternFill>
    </fill>
    <fill>
      <patternFill patternType="solid">
        <fgColor rgb="FFC0392B"/>
        <bgColor rgb="FFC0392B"/>
      </patternFill>
    </fill>
    <fill>
      <patternFill patternType="solid">
        <fgColor rgb="FFF5F5F5"/>
        <bgColor rgb="FFF5F5F5"/>
      </patternFill>
    </fill>
    <fill>
      <patternFill patternType="solid">
        <fgColor rgb="FFFEF9E7"/>
        <bgColor rgb="FFFEF9E7"/>
      </patternFill>
    </fill>
    <fill>
      <patternFill patternType="solid">
        <fgColor rgb="FFF39C12"/>
        <bgColor rgb="FFF39C12"/>
      </patternFill>
    </fill>
    <fill>
      <patternFill patternType="solid">
        <fgColor rgb="FFEAFAF1"/>
        <bgColor rgb="FFEAFAF1"/>
      </patternFill>
    </fill>
    <fill>
      <patternFill patternType="solid">
        <fgColor rgb="FF27AE60"/>
        <bgColor rgb="FF27AE60"/>
      </patternFill>
    </fill>
    <fill>
      <patternFill patternType="solid">
        <fgColor rgb="FFEBF5FB"/>
        <bgColor rgb="FFEBF5FB"/>
      </patternFill>
    </fill>
    <fill>
      <patternFill patternType="solid">
        <fgColor rgb="FF2980B9"/>
        <bgColor rgb="FF2980B9"/>
      </patternFill>
    </fill>
    <fill>
      <patternFill patternType="solid">
        <fgColor rgb="FF2F5496"/>
        <bgColor rgb="FF2F5496"/>
      </patternFill>
    </fill>
    <fill>
      <patternFill patternType="solid">
        <fgColor rgb="FFE2EFDA"/>
        <bgColor rgb="FFE2EFDA"/>
      </patternFill>
    </fill>
    <fill>
      <patternFill patternType="solid">
        <fgColor rgb="FFFCE4EC"/>
        <bgColor rgb="FFFCE4EC"/>
      </patternFill>
    </fill>
    <fill>
      <patternFill patternType="solid">
        <fgColor rgb="FFFFF9C4"/>
        <bgColor rgb="FFFFF9C4"/>
      </patternFill>
    </fill>
  </fills>
  <borders count="4">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auto="1"/>
      </left>
      <right style="thin">
        <color auto="1"/>
      </right>
      <top style="thin">
        <color auto="1"/>
      </top>
      <bottom style="thin">
        <color auto="1"/>
      </bottom>
      <diagonal/>
    </border>
  </borders>
  <cellStyleXfs count="2">
    <xf numFmtId="0" fontId="0" fillId="0" borderId="0"/>
    <xf numFmtId="9" fontId="14" fillId="0" borderId="0" applyFont="0" applyFill="0" applyBorder="0" applyAlignment="0" applyProtection="0"/>
  </cellStyleXfs>
  <cellXfs count="49">
    <xf numFmtId="0" fontId="0" fillId="0" borderId="0" xfId="0"/>
    <xf numFmtId="0" fontId="6" fillId="0" borderId="0" xfId="0" applyFont="1"/>
    <xf numFmtId="0" fontId="7" fillId="0" borderId="0" xfId="0" applyFont="1"/>
    <xf numFmtId="0" fontId="10" fillId="5" borderId="1" xfId="0" applyFont="1" applyFill="1" applyBorder="1" applyAlignment="1">
      <alignment horizontal="center" vertical="center" wrapText="1"/>
    </xf>
    <xf numFmtId="0" fontId="5" fillId="0" borderId="1" xfId="0" applyFont="1" applyBorder="1" applyAlignment="1">
      <alignment vertical="top" wrapText="1"/>
    </xf>
    <xf numFmtId="0" fontId="5" fillId="6" borderId="1" xfId="0" applyFont="1" applyFill="1" applyBorder="1" applyAlignment="1">
      <alignment vertical="top" wrapText="1"/>
    </xf>
    <xf numFmtId="0" fontId="10" fillId="8"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0" borderId="1" xfId="0" applyFont="1" applyBorder="1" applyAlignment="1">
      <alignment vertical="top" wrapText="1"/>
    </xf>
    <xf numFmtId="0" fontId="11" fillId="6" borderId="1" xfId="0" applyFont="1" applyFill="1" applyBorder="1" applyAlignment="1">
      <alignment vertical="top" wrapText="1"/>
    </xf>
    <xf numFmtId="0" fontId="10" fillId="12" borderId="0" xfId="0" applyFont="1" applyFill="1" applyAlignment="1">
      <alignment horizontal="center" vertical="center" wrapText="1"/>
    </xf>
    <xf numFmtId="0" fontId="6" fillId="0" borderId="1" xfId="0" applyFont="1" applyBorder="1" applyAlignment="1">
      <alignment vertical="top" wrapText="1"/>
    </xf>
    <xf numFmtId="0" fontId="6" fillId="6" borderId="1" xfId="0" applyFont="1" applyFill="1" applyBorder="1" applyAlignment="1">
      <alignment vertical="top" wrapText="1"/>
    </xf>
    <xf numFmtId="0" fontId="3" fillId="0" borderId="0" xfId="0" applyFont="1"/>
    <xf numFmtId="0" fontId="0" fillId="0" borderId="0" xfId="0"/>
    <xf numFmtId="0" fontId="1" fillId="2" borderId="0" xfId="0" applyFont="1" applyFill="1" applyAlignment="1">
      <alignment horizontal="center" vertical="center" wrapText="1"/>
    </xf>
    <xf numFmtId="0" fontId="5" fillId="0" borderId="0" xfId="0" applyFont="1" applyAlignment="1">
      <alignment vertical="top" wrapText="1"/>
    </xf>
    <xf numFmtId="0" fontId="4" fillId="0" borderId="0" xfId="0" applyFont="1"/>
    <xf numFmtId="0" fontId="8" fillId="0" borderId="0" xfId="0" applyFont="1" applyAlignment="1">
      <alignment horizontal="center"/>
    </xf>
    <xf numFmtId="0" fontId="9" fillId="0" borderId="0" xfId="0" applyFont="1" applyAlignment="1">
      <alignment horizontal="center"/>
    </xf>
    <xf numFmtId="0" fontId="13" fillId="0" borderId="0" xfId="0" applyFont="1"/>
    <xf numFmtId="0" fontId="2" fillId="3" borderId="0" xfId="0" applyFont="1" applyFill="1" applyAlignment="1">
      <alignment horizontal="center" vertical="center"/>
    </xf>
    <xf numFmtId="0" fontId="3" fillId="4" borderId="0" xfId="0" applyFont="1" applyFill="1"/>
    <xf numFmtId="0" fontId="5" fillId="0" borderId="1" xfId="0" applyFont="1" applyBorder="1" applyAlignment="1">
      <alignment vertical="top" wrapText="1"/>
    </xf>
    <xf numFmtId="0" fontId="0" fillId="0" borderId="2" xfId="0" applyBorder="1"/>
    <xf numFmtId="0" fontId="5" fillId="6" borderId="1" xfId="0" applyFont="1" applyFill="1" applyBorder="1" applyAlignment="1">
      <alignment vertical="top" wrapText="1"/>
    </xf>
    <xf numFmtId="0" fontId="3" fillId="9" borderId="0" xfId="0" applyFont="1" applyFill="1"/>
    <xf numFmtId="0" fontId="3" fillId="11" borderId="0" xfId="0" applyFont="1" applyFill="1"/>
    <xf numFmtId="0" fontId="0" fillId="11" borderId="0" xfId="0" applyFill="1"/>
    <xf numFmtId="0" fontId="3" fillId="7" borderId="0" xfId="0" applyFont="1" applyFill="1"/>
    <xf numFmtId="0" fontId="7" fillId="0" borderId="0" xfId="0" applyFont="1"/>
    <xf numFmtId="0" fontId="15" fillId="13" borderId="3" xfId="0" applyFont="1" applyFill="1" applyBorder="1" applyAlignment="1">
      <alignment horizontal="center" vertical="center" wrapText="1"/>
    </xf>
    <xf numFmtId="0" fontId="12" fillId="0" borderId="3" xfId="0" applyFont="1" applyBorder="1"/>
    <xf numFmtId="0" fontId="16" fillId="0" borderId="3" xfId="0" applyFont="1" applyBorder="1" applyAlignment="1">
      <alignment horizontal="center"/>
    </xf>
    <xf numFmtId="0" fontId="0" fillId="14" borderId="3" xfId="0" applyFill="1" applyBorder="1" applyAlignment="1">
      <alignment horizontal="center"/>
    </xf>
    <xf numFmtId="0" fontId="0" fillId="15" borderId="3" xfId="0" applyFill="1" applyBorder="1" applyAlignment="1">
      <alignment horizontal="center"/>
    </xf>
    <xf numFmtId="0" fontId="0" fillId="16" borderId="3" xfId="0" applyFill="1" applyBorder="1" applyAlignment="1">
      <alignment horizontal="center"/>
    </xf>
    <xf numFmtId="0" fontId="17" fillId="0" borderId="3" xfId="0" applyFont="1" applyBorder="1" applyAlignment="1">
      <alignment wrapText="1"/>
    </xf>
    <xf numFmtId="0" fontId="18" fillId="0" borderId="3" xfId="0" applyFont="1" applyBorder="1"/>
    <xf numFmtId="0" fontId="18" fillId="0" borderId="3" xfId="0" applyFont="1" applyBorder="1" applyAlignment="1">
      <alignment horizontal="center"/>
    </xf>
    <xf numFmtId="0" fontId="19" fillId="0" borderId="0" xfId="0" applyFont="1"/>
    <xf numFmtId="0" fontId="19" fillId="0" borderId="0" xfId="0" applyFont="1" applyAlignment="1">
      <alignment horizontal="center"/>
    </xf>
    <xf numFmtId="0" fontId="12" fillId="0" borderId="0" xfId="0" applyFont="1"/>
    <xf numFmtId="9" fontId="20" fillId="0" borderId="0" xfId="1" applyFont="1" applyAlignment="1">
      <alignment horizontal="center"/>
    </xf>
    <xf numFmtId="9" fontId="0" fillId="0" borderId="0" xfId="1" applyFont="1" applyAlignment="1">
      <alignment horizontal="center"/>
    </xf>
    <xf numFmtId="0" fontId="18" fillId="0" borderId="0" xfId="0" applyFont="1"/>
    <xf numFmtId="0" fontId="16" fillId="0" borderId="0" xfId="0" applyFont="1"/>
    <xf numFmtId="0" fontId="20" fillId="0" borderId="0" xfId="0" applyFont="1"/>
    <xf numFmtId="0" fontId="0" fillId="0" borderId="0" xfId="0" applyAlignment="1">
      <alignmen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D23"/>
  <sheetViews>
    <sheetView tabSelected="1" workbookViewId="0">
      <selection sqref="A1:D2"/>
    </sheetView>
  </sheetViews>
  <sheetFormatPr baseColWidth="10" defaultColWidth="8.83203125" defaultRowHeight="15" x14ac:dyDescent="0.2"/>
  <cols>
    <col min="1" max="1" width="60" customWidth="1"/>
    <col min="2" max="4" width="30" customWidth="1"/>
  </cols>
  <sheetData>
    <row r="1" spans="1:4" x14ac:dyDescent="0.2">
      <c r="A1" s="15" t="s">
        <v>0</v>
      </c>
      <c r="B1" s="14"/>
      <c r="C1" s="14"/>
      <c r="D1" s="14"/>
    </row>
    <row r="2" spans="1:4" x14ac:dyDescent="0.2">
      <c r="A2" s="14"/>
      <c r="B2" s="14"/>
      <c r="C2" s="14"/>
      <c r="D2" s="14"/>
    </row>
    <row r="3" spans="1:4" ht="19" x14ac:dyDescent="0.2">
      <c r="A3" s="21" t="s">
        <v>1</v>
      </c>
      <c r="B3" s="14"/>
      <c r="C3" s="14"/>
      <c r="D3" s="14"/>
    </row>
    <row r="4" spans="1:4" ht="19" x14ac:dyDescent="0.25">
      <c r="A4" s="20" t="s">
        <v>2</v>
      </c>
      <c r="B4" s="14"/>
      <c r="C4" s="14"/>
      <c r="D4" s="14"/>
    </row>
    <row r="5" spans="1:4" ht="21" x14ac:dyDescent="0.25">
      <c r="A5" s="13" t="s">
        <v>3</v>
      </c>
      <c r="B5" s="14"/>
      <c r="C5" s="14"/>
      <c r="D5" s="14"/>
    </row>
    <row r="6" spans="1:4" ht="21" x14ac:dyDescent="0.25">
      <c r="A6" s="17" t="s">
        <v>4</v>
      </c>
      <c r="B6" s="14"/>
      <c r="C6" s="14"/>
      <c r="D6" s="14"/>
    </row>
    <row r="7" spans="1:4" x14ac:dyDescent="0.2">
      <c r="A7" s="16" t="s">
        <v>5</v>
      </c>
      <c r="B7" s="14"/>
      <c r="C7" s="14"/>
      <c r="D7" s="14"/>
    </row>
    <row r="8" spans="1:4" x14ac:dyDescent="0.2">
      <c r="A8" s="14"/>
      <c r="B8" s="14"/>
      <c r="C8" s="14"/>
      <c r="D8" s="14"/>
    </row>
    <row r="10" spans="1:4" ht="21" x14ac:dyDescent="0.25">
      <c r="A10" s="13" t="s">
        <v>6</v>
      </c>
      <c r="B10" s="14"/>
      <c r="C10" s="14"/>
      <c r="D10" s="14"/>
    </row>
    <row r="11" spans="1:4" x14ac:dyDescent="0.2">
      <c r="A11" s="1" t="s">
        <v>7</v>
      </c>
      <c r="B11" s="16" t="s">
        <v>8</v>
      </c>
      <c r="C11" s="14"/>
      <c r="D11" s="14"/>
    </row>
    <row r="12" spans="1:4" x14ac:dyDescent="0.2">
      <c r="A12" s="1" t="s">
        <v>9</v>
      </c>
      <c r="B12" s="16" t="s">
        <v>10</v>
      </c>
      <c r="C12" s="14"/>
      <c r="D12" s="14"/>
    </row>
    <row r="13" spans="1:4" x14ac:dyDescent="0.2">
      <c r="A13" s="1" t="s">
        <v>11</v>
      </c>
      <c r="B13" s="16" t="s">
        <v>12</v>
      </c>
      <c r="C13" s="14"/>
      <c r="D13" s="14"/>
    </row>
    <row r="14" spans="1:4" x14ac:dyDescent="0.2">
      <c r="A14" s="1" t="s">
        <v>13</v>
      </c>
      <c r="B14" s="16" t="s">
        <v>14</v>
      </c>
      <c r="C14" s="14"/>
      <c r="D14" s="14"/>
    </row>
    <row r="15" spans="1:4" x14ac:dyDescent="0.2">
      <c r="A15" s="1" t="s">
        <v>15</v>
      </c>
      <c r="B15" s="16" t="s">
        <v>16</v>
      </c>
      <c r="C15" s="14"/>
      <c r="D15" s="14"/>
    </row>
    <row r="17" spans="1:4" ht="21" x14ac:dyDescent="0.25">
      <c r="A17" s="13" t="s">
        <v>17</v>
      </c>
      <c r="B17" s="14"/>
      <c r="C17" s="14"/>
      <c r="D17" s="14"/>
    </row>
    <row r="18" spans="1:4" ht="45" customHeight="1" x14ac:dyDescent="0.2">
      <c r="A18" s="2" t="s">
        <v>18</v>
      </c>
      <c r="B18" s="1" t="s">
        <v>19</v>
      </c>
      <c r="C18" s="16" t="s">
        <v>20</v>
      </c>
      <c r="D18" s="14"/>
    </row>
    <row r="19" spans="1:4" ht="45" customHeight="1" x14ac:dyDescent="0.2">
      <c r="A19" s="2" t="s">
        <v>21</v>
      </c>
      <c r="B19" s="1" t="s">
        <v>22</v>
      </c>
      <c r="C19" s="16" t="s">
        <v>23</v>
      </c>
      <c r="D19" s="14"/>
    </row>
    <row r="20" spans="1:4" ht="45" customHeight="1" x14ac:dyDescent="0.2">
      <c r="A20" s="2" t="s">
        <v>24</v>
      </c>
      <c r="B20" s="1" t="s">
        <v>25</v>
      </c>
      <c r="C20" s="16" t="s">
        <v>26</v>
      </c>
      <c r="D20" s="14"/>
    </row>
    <row r="22" spans="1:4" ht="19" x14ac:dyDescent="0.25">
      <c r="A22" s="18" t="s">
        <v>27</v>
      </c>
      <c r="B22" s="14"/>
      <c r="C22" s="14"/>
      <c r="D22" s="14"/>
    </row>
    <row r="23" spans="1:4" x14ac:dyDescent="0.2">
      <c r="A23" s="19" t="s">
        <v>28</v>
      </c>
      <c r="B23" s="14"/>
      <c r="C23" s="14"/>
      <c r="D23" s="14"/>
    </row>
  </sheetData>
  <mergeCells count="18">
    <mergeCell ref="C20:D20"/>
    <mergeCell ref="A6:D6"/>
    <mergeCell ref="A22:D22"/>
    <mergeCell ref="A23:D23"/>
    <mergeCell ref="B15:D15"/>
    <mergeCell ref="C19:D19"/>
    <mergeCell ref="B13:D13"/>
    <mergeCell ref="A7:D8"/>
    <mergeCell ref="C18:D18"/>
    <mergeCell ref="B12:D12"/>
    <mergeCell ref="A10:D10"/>
    <mergeCell ref="A5:D5"/>
    <mergeCell ref="A17:D17"/>
    <mergeCell ref="A1:D2"/>
    <mergeCell ref="B11:D11"/>
    <mergeCell ref="B14:D14"/>
    <mergeCell ref="A4:D4"/>
    <mergeCell ref="A3:D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392B"/>
  </sheetPr>
  <dimension ref="A1:D30"/>
  <sheetViews>
    <sheetView workbookViewId="0"/>
  </sheetViews>
  <sheetFormatPr baseColWidth="10" defaultColWidth="8.83203125" defaultRowHeight="15" x14ac:dyDescent="0.2"/>
  <cols>
    <col min="1" max="1" width="25" customWidth="1"/>
    <col min="2" max="3" width="35" customWidth="1"/>
    <col min="4" max="4" width="25" customWidth="1"/>
  </cols>
  <sheetData>
    <row r="1" spans="1:4" x14ac:dyDescent="0.2">
      <c r="A1" s="15" t="s">
        <v>17</v>
      </c>
      <c r="B1" s="14"/>
      <c r="C1" s="14"/>
      <c r="D1" s="14"/>
    </row>
    <row r="2" spans="1:4" x14ac:dyDescent="0.2">
      <c r="A2" s="14"/>
      <c r="B2" s="14"/>
      <c r="C2" s="14"/>
      <c r="D2" s="14"/>
    </row>
    <row r="3" spans="1:4" ht="19" x14ac:dyDescent="0.2">
      <c r="A3" s="21" t="s">
        <v>29</v>
      </c>
      <c r="B3" s="14"/>
      <c r="C3" s="14"/>
      <c r="D3" s="14"/>
    </row>
    <row r="5" spans="1:4" ht="21" x14ac:dyDescent="0.25">
      <c r="A5" s="22" t="s">
        <v>30</v>
      </c>
      <c r="B5" s="14"/>
      <c r="C5" s="14"/>
      <c r="D5" s="14"/>
    </row>
    <row r="6" spans="1:4" ht="17" x14ac:dyDescent="0.2">
      <c r="A6" s="3" t="s">
        <v>31</v>
      </c>
      <c r="B6" s="3" t="s">
        <v>32</v>
      </c>
      <c r="C6" s="3" t="s">
        <v>33</v>
      </c>
      <c r="D6" s="3"/>
    </row>
    <row r="7" spans="1:4" ht="40" customHeight="1" x14ac:dyDescent="0.2">
      <c r="A7" s="4" t="s">
        <v>34</v>
      </c>
      <c r="B7" s="4" t="s">
        <v>35</v>
      </c>
      <c r="C7" s="23" t="s">
        <v>36</v>
      </c>
      <c r="D7" s="24"/>
    </row>
    <row r="8" spans="1:4" ht="40" customHeight="1" x14ac:dyDescent="0.2">
      <c r="A8" s="5" t="s">
        <v>37</v>
      </c>
      <c r="B8" s="5" t="s">
        <v>38</v>
      </c>
      <c r="C8" s="25" t="s">
        <v>39</v>
      </c>
      <c r="D8" s="24"/>
    </row>
    <row r="9" spans="1:4" ht="40" customHeight="1" x14ac:dyDescent="0.2">
      <c r="A9" s="4" t="s">
        <v>40</v>
      </c>
      <c r="B9" s="4" t="s">
        <v>41</v>
      </c>
      <c r="C9" s="23" t="s">
        <v>42</v>
      </c>
      <c r="D9" s="24"/>
    </row>
    <row r="10" spans="1:4" ht="40" customHeight="1" x14ac:dyDescent="0.2">
      <c r="A10" s="5" t="s">
        <v>43</v>
      </c>
      <c r="B10" s="5" t="s">
        <v>44</v>
      </c>
      <c r="C10" s="25" t="s">
        <v>45</v>
      </c>
      <c r="D10" s="24"/>
    </row>
    <row r="11" spans="1:4" ht="40" customHeight="1" x14ac:dyDescent="0.2">
      <c r="A11" s="4" t="s">
        <v>46</v>
      </c>
      <c r="B11" s="4" t="s">
        <v>47</v>
      </c>
      <c r="C11" s="23" t="s">
        <v>48</v>
      </c>
      <c r="D11" s="24"/>
    </row>
    <row r="13" spans="1:4" ht="21" x14ac:dyDescent="0.25">
      <c r="A13" s="29" t="s">
        <v>49</v>
      </c>
      <c r="B13" s="14"/>
      <c r="C13" s="14"/>
      <c r="D13" s="14"/>
    </row>
    <row r="14" spans="1:4" ht="17" x14ac:dyDescent="0.2">
      <c r="A14" s="6" t="s">
        <v>50</v>
      </c>
      <c r="B14" s="6" t="s">
        <v>51</v>
      </c>
      <c r="C14" s="6" t="s">
        <v>52</v>
      </c>
      <c r="D14" s="6" t="s">
        <v>53</v>
      </c>
    </row>
    <row r="15" spans="1:4" ht="55" customHeight="1" x14ac:dyDescent="0.2">
      <c r="A15" s="4" t="s">
        <v>54</v>
      </c>
      <c r="B15" s="4" t="s">
        <v>55</v>
      </c>
      <c r="C15" s="4" t="s">
        <v>56</v>
      </c>
      <c r="D15" s="4" t="s">
        <v>57</v>
      </c>
    </row>
    <row r="16" spans="1:4" ht="55" customHeight="1" x14ac:dyDescent="0.2">
      <c r="A16" s="5" t="s">
        <v>58</v>
      </c>
      <c r="B16" s="5" t="s">
        <v>59</v>
      </c>
      <c r="C16" s="5" t="s">
        <v>60</v>
      </c>
      <c r="D16" s="5" t="s">
        <v>61</v>
      </c>
    </row>
    <row r="17" spans="1:4" ht="55" customHeight="1" x14ac:dyDescent="0.2">
      <c r="A17" s="4" t="s">
        <v>62</v>
      </c>
      <c r="B17" s="4" t="s">
        <v>63</v>
      </c>
      <c r="C17" s="4" t="s">
        <v>64</v>
      </c>
      <c r="D17" s="4" t="s">
        <v>65</v>
      </c>
    </row>
    <row r="18" spans="1:4" ht="55" customHeight="1" x14ac:dyDescent="0.2">
      <c r="A18" s="5" t="s">
        <v>66</v>
      </c>
      <c r="B18" s="5" t="s">
        <v>67</v>
      </c>
      <c r="C18" s="5" t="s">
        <v>68</v>
      </c>
      <c r="D18" s="5" t="s">
        <v>69</v>
      </c>
    </row>
    <row r="20" spans="1:4" ht="21" x14ac:dyDescent="0.25">
      <c r="A20" s="26" t="s">
        <v>70</v>
      </c>
      <c r="B20" s="14"/>
      <c r="C20" s="14"/>
      <c r="D20" s="14"/>
    </row>
    <row r="21" spans="1:4" ht="17" x14ac:dyDescent="0.2">
      <c r="A21" s="7" t="s">
        <v>31</v>
      </c>
      <c r="B21" s="7" t="s">
        <v>51</v>
      </c>
      <c r="C21" s="7" t="s">
        <v>71</v>
      </c>
      <c r="D21" s="7" t="s">
        <v>72</v>
      </c>
    </row>
    <row r="22" spans="1:4" ht="50" customHeight="1" x14ac:dyDescent="0.2">
      <c r="A22" s="4" t="s">
        <v>73</v>
      </c>
      <c r="B22" s="4" t="s">
        <v>74</v>
      </c>
      <c r="C22" s="4" t="s">
        <v>75</v>
      </c>
      <c r="D22" s="4" t="s">
        <v>76</v>
      </c>
    </row>
    <row r="23" spans="1:4" ht="50" customHeight="1" x14ac:dyDescent="0.2">
      <c r="A23" s="5" t="s">
        <v>77</v>
      </c>
      <c r="B23" s="5" t="s">
        <v>78</v>
      </c>
      <c r="C23" s="5" t="s">
        <v>79</v>
      </c>
      <c r="D23" s="5" t="s">
        <v>80</v>
      </c>
    </row>
    <row r="24" spans="1:4" ht="50" customHeight="1" x14ac:dyDescent="0.2">
      <c r="A24" s="4" t="s">
        <v>81</v>
      </c>
      <c r="B24" s="4" t="s">
        <v>82</v>
      </c>
      <c r="C24" s="4" t="s">
        <v>83</v>
      </c>
      <c r="D24" s="4" t="s">
        <v>84</v>
      </c>
    </row>
    <row r="26" spans="1:4" ht="21" x14ac:dyDescent="0.25">
      <c r="A26" s="27" t="s">
        <v>85</v>
      </c>
      <c r="B26" s="28"/>
      <c r="C26" s="28"/>
      <c r="D26" s="28"/>
    </row>
    <row r="27" spans="1:4" ht="17" x14ac:dyDescent="0.2">
      <c r="A27" s="10" t="s">
        <v>31</v>
      </c>
      <c r="B27" s="10" t="s">
        <v>51</v>
      </c>
      <c r="C27" s="10" t="s">
        <v>71</v>
      </c>
      <c r="D27" s="10" t="s">
        <v>72</v>
      </c>
    </row>
    <row r="28" spans="1:4" ht="50" customHeight="1" x14ac:dyDescent="0.2">
      <c r="A28" s="11" t="s">
        <v>86</v>
      </c>
      <c r="B28" s="4" t="s">
        <v>87</v>
      </c>
      <c r="C28" s="4" t="s">
        <v>88</v>
      </c>
      <c r="D28" s="4" t="s">
        <v>89</v>
      </c>
    </row>
    <row r="29" spans="1:4" ht="50" customHeight="1" x14ac:dyDescent="0.2">
      <c r="A29" s="12" t="s">
        <v>77</v>
      </c>
      <c r="B29" s="5" t="s">
        <v>90</v>
      </c>
      <c r="C29" s="5" t="s">
        <v>91</v>
      </c>
      <c r="D29" s="5" t="s">
        <v>92</v>
      </c>
    </row>
    <row r="30" spans="1:4" ht="50" customHeight="1" x14ac:dyDescent="0.2">
      <c r="A30" s="11" t="s">
        <v>93</v>
      </c>
      <c r="B30" s="4" t="s">
        <v>94</v>
      </c>
      <c r="C30" s="4" t="s">
        <v>95</v>
      </c>
      <c r="D30" s="4" t="s">
        <v>96</v>
      </c>
    </row>
  </sheetData>
  <mergeCells count="11">
    <mergeCell ref="A20:D20"/>
    <mergeCell ref="A26:D26"/>
    <mergeCell ref="A13:D13"/>
    <mergeCell ref="C9:D9"/>
    <mergeCell ref="C8:D8"/>
    <mergeCell ref="A5:D5"/>
    <mergeCell ref="A1:D2"/>
    <mergeCell ref="C7:D7"/>
    <mergeCell ref="C10:D10"/>
    <mergeCell ref="C11:D11"/>
    <mergeCell ref="A3:D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C21"/>
  <sheetViews>
    <sheetView workbookViewId="0"/>
  </sheetViews>
  <sheetFormatPr baseColWidth="10" defaultColWidth="8.83203125" defaultRowHeight="15" x14ac:dyDescent="0.2"/>
  <cols>
    <col min="1" max="1" width="30" customWidth="1"/>
    <col min="2" max="3" width="40" customWidth="1"/>
  </cols>
  <sheetData>
    <row r="1" spans="1:3" x14ac:dyDescent="0.2">
      <c r="A1" s="15" t="s">
        <v>97</v>
      </c>
      <c r="B1" s="14"/>
      <c r="C1" s="14"/>
    </row>
    <row r="2" spans="1:3" x14ac:dyDescent="0.2">
      <c r="A2" s="14"/>
      <c r="B2" s="14"/>
      <c r="C2" s="14"/>
    </row>
    <row r="3" spans="1:3" ht="19" x14ac:dyDescent="0.2">
      <c r="A3" s="21" t="s">
        <v>98</v>
      </c>
      <c r="B3" s="14"/>
      <c r="C3" s="14"/>
    </row>
    <row r="5" spans="1:3" ht="21" x14ac:dyDescent="0.25">
      <c r="A5" s="13" t="s">
        <v>99</v>
      </c>
      <c r="B5" s="14"/>
      <c r="C5" s="14"/>
    </row>
    <row r="6" spans="1:3" ht="17" x14ac:dyDescent="0.2">
      <c r="A6" s="3" t="s">
        <v>100</v>
      </c>
      <c r="B6" s="3" t="s">
        <v>101</v>
      </c>
      <c r="C6" s="3" t="s">
        <v>102</v>
      </c>
    </row>
    <row r="7" spans="1:3" ht="55" customHeight="1" x14ac:dyDescent="0.2">
      <c r="A7" s="4" t="s">
        <v>103</v>
      </c>
      <c r="B7" s="4" t="s">
        <v>104</v>
      </c>
      <c r="C7" s="4" t="s">
        <v>105</v>
      </c>
    </row>
    <row r="8" spans="1:3" ht="55" customHeight="1" x14ac:dyDescent="0.2">
      <c r="A8" s="5" t="s">
        <v>106</v>
      </c>
      <c r="B8" s="5" t="s">
        <v>107</v>
      </c>
      <c r="C8" s="5" t="s">
        <v>108</v>
      </c>
    </row>
    <row r="9" spans="1:3" ht="55" customHeight="1" x14ac:dyDescent="0.2">
      <c r="A9" s="4" t="s">
        <v>109</v>
      </c>
      <c r="B9" s="4" t="s">
        <v>110</v>
      </c>
      <c r="C9" s="4" t="s">
        <v>111</v>
      </c>
    </row>
    <row r="10" spans="1:3" ht="55" customHeight="1" x14ac:dyDescent="0.2">
      <c r="A10" s="5" t="s">
        <v>112</v>
      </c>
      <c r="B10" s="5" t="s">
        <v>113</v>
      </c>
      <c r="C10" s="5" t="s">
        <v>114</v>
      </c>
    </row>
    <row r="11" spans="1:3" ht="55" customHeight="1" x14ac:dyDescent="0.2">
      <c r="A11" s="4" t="s">
        <v>115</v>
      </c>
      <c r="B11" s="4" t="s">
        <v>116</v>
      </c>
      <c r="C11" s="4" t="s">
        <v>117</v>
      </c>
    </row>
    <row r="12" spans="1:3" ht="55" customHeight="1" x14ac:dyDescent="0.2">
      <c r="A12" s="5" t="s">
        <v>118</v>
      </c>
      <c r="B12" s="5" t="s">
        <v>119</v>
      </c>
      <c r="C12" s="5" t="s">
        <v>120</v>
      </c>
    </row>
    <row r="15" spans="1:3" ht="21" x14ac:dyDescent="0.25">
      <c r="A15" s="13" t="s">
        <v>121</v>
      </c>
      <c r="B15" s="14"/>
      <c r="C15" s="14"/>
    </row>
    <row r="16" spans="1:3" ht="17" x14ac:dyDescent="0.2">
      <c r="A16" s="3" t="s">
        <v>122</v>
      </c>
      <c r="B16" s="3" t="s">
        <v>123</v>
      </c>
      <c r="C16" s="3" t="s">
        <v>124</v>
      </c>
    </row>
    <row r="17" spans="1:3" ht="55" customHeight="1" x14ac:dyDescent="0.2">
      <c r="A17" s="4" t="s">
        <v>125</v>
      </c>
      <c r="B17" s="4" t="s">
        <v>126</v>
      </c>
      <c r="C17" s="4" t="s">
        <v>127</v>
      </c>
    </row>
    <row r="18" spans="1:3" ht="55" customHeight="1" x14ac:dyDescent="0.2">
      <c r="A18" s="5" t="s">
        <v>128</v>
      </c>
      <c r="B18" s="5" t="s">
        <v>129</v>
      </c>
      <c r="C18" s="5" t="s">
        <v>130</v>
      </c>
    </row>
    <row r="19" spans="1:3" ht="55" customHeight="1" x14ac:dyDescent="0.2">
      <c r="A19" s="4" t="s">
        <v>131</v>
      </c>
      <c r="B19" s="4" t="s">
        <v>132</v>
      </c>
      <c r="C19" s="4" t="s">
        <v>133</v>
      </c>
    </row>
    <row r="20" spans="1:3" ht="55" customHeight="1" x14ac:dyDescent="0.2">
      <c r="A20" s="5" t="s">
        <v>134</v>
      </c>
      <c r="B20" s="5" t="s">
        <v>135</v>
      </c>
      <c r="C20" s="5" t="s">
        <v>136</v>
      </c>
    </row>
    <row r="21" spans="1:3" ht="55" customHeight="1" x14ac:dyDescent="0.2">
      <c r="A21" s="4" t="s">
        <v>137</v>
      </c>
      <c r="B21" s="4" t="s">
        <v>138</v>
      </c>
      <c r="C21" s="4" t="s">
        <v>139</v>
      </c>
    </row>
  </sheetData>
  <mergeCells count="4">
    <mergeCell ref="A5:C5"/>
    <mergeCell ref="A1:C2"/>
    <mergeCell ref="A3:C3"/>
    <mergeCell ref="A15:C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sheetPr>
  <dimension ref="A1:E23"/>
  <sheetViews>
    <sheetView workbookViewId="0"/>
  </sheetViews>
  <sheetFormatPr baseColWidth="10" defaultColWidth="8.83203125" defaultRowHeight="15" x14ac:dyDescent="0.2"/>
  <cols>
    <col min="1" max="5" width="25" customWidth="1"/>
  </cols>
  <sheetData>
    <row r="1" spans="1:5" x14ac:dyDescent="0.2">
      <c r="A1" s="15" t="s">
        <v>140</v>
      </c>
      <c r="B1" s="14"/>
      <c r="C1" s="14"/>
      <c r="D1" s="14"/>
      <c r="E1" s="14"/>
    </row>
    <row r="2" spans="1:5" x14ac:dyDescent="0.2">
      <c r="A2" s="14"/>
      <c r="B2" s="14"/>
      <c r="C2" s="14"/>
      <c r="D2" s="14"/>
      <c r="E2" s="14"/>
    </row>
    <row r="3" spans="1:5" ht="19" x14ac:dyDescent="0.2">
      <c r="A3" s="21" t="s">
        <v>141</v>
      </c>
      <c r="B3" s="14"/>
      <c r="C3" s="14"/>
      <c r="D3" s="14"/>
      <c r="E3" s="14"/>
    </row>
    <row r="5" spans="1:5" ht="21" x14ac:dyDescent="0.25">
      <c r="A5" s="13" t="s">
        <v>142</v>
      </c>
      <c r="B5" s="14"/>
      <c r="C5" s="14"/>
      <c r="D5" s="14"/>
      <c r="E5" s="14"/>
    </row>
    <row r="6" spans="1:5" x14ac:dyDescent="0.2">
      <c r="A6" s="16" t="s">
        <v>143</v>
      </c>
      <c r="B6" s="14"/>
      <c r="C6" s="14"/>
      <c r="D6" s="14"/>
      <c r="E6" s="14"/>
    </row>
    <row r="7" spans="1:5" x14ac:dyDescent="0.2">
      <c r="A7" s="14"/>
      <c r="B7" s="14"/>
      <c r="C7" s="14"/>
      <c r="D7" s="14"/>
      <c r="E7" s="14"/>
    </row>
    <row r="9" spans="1:5" ht="17" x14ac:dyDescent="0.2">
      <c r="A9" s="3"/>
      <c r="B9" s="3" t="s">
        <v>144</v>
      </c>
      <c r="C9" s="3" t="s">
        <v>145</v>
      </c>
      <c r="D9" s="3" t="s">
        <v>146</v>
      </c>
      <c r="E9" s="3" t="s">
        <v>147</v>
      </c>
    </row>
    <row r="10" spans="1:5" ht="55" customHeight="1" x14ac:dyDescent="0.2">
      <c r="A10" s="4" t="s">
        <v>148</v>
      </c>
      <c r="B10" s="4" t="s">
        <v>149</v>
      </c>
      <c r="C10" s="4" t="s">
        <v>150</v>
      </c>
      <c r="D10" s="4" t="s">
        <v>151</v>
      </c>
      <c r="E10" s="8" t="s">
        <v>152</v>
      </c>
    </row>
    <row r="11" spans="1:5" ht="55" customHeight="1" x14ac:dyDescent="0.2">
      <c r="A11" s="5" t="s">
        <v>153</v>
      </c>
      <c r="B11" s="5" t="s">
        <v>154</v>
      </c>
      <c r="C11" s="5" t="s">
        <v>155</v>
      </c>
      <c r="D11" s="5" t="s">
        <v>156</v>
      </c>
      <c r="E11" s="9" t="s">
        <v>157</v>
      </c>
    </row>
    <row r="12" spans="1:5" ht="55" customHeight="1" x14ac:dyDescent="0.2">
      <c r="A12" s="4" t="s">
        <v>158</v>
      </c>
      <c r="B12" s="4" t="s">
        <v>159</v>
      </c>
      <c r="C12" s="4" t="s">
        <v>160</v>
      </c>
      <c r="D12" s="4" t="s">
        <v>161</v>
      </c>
      <c r="E12" s="8" t="s">
        <v>162</v>
      </c>
    </row>
    <row r="13" spans="1:5" ht="55" customHeight="1" x14ac:dyDescent="0.2">
      <c r="A13" s="5" t="s">
        <v>163</v>
      </c>
      <c r="B13" s="5" t="s">
        <v>164</v>
      </c>
      <c r="C13" s="5" t="s">
        <v>165</v>
      </c>
      <c r="D13" s="5" t="s">
        <v>166</v>
      </c>
      <c r="E13" s="9" t="s">
        <v>167</v>
      </c>
    </row>
    <row r="14" spans="1:5" ht="55" customHeight="1" x14ac:dyDescent="0.2">
      <c r="A14" s="4" t="s">
        <v>168</v>
      </c>
      <c r="B14" s="4" t="s">
        <v>169</v>
      </c>
      <c r="C14" s="4" t="s">
        <v>170</v>
      </c>
      <c r="D14" s="4" t="s">
        <v>171</v>
      </c>
      <c r="E14" s="8" t="s">
        <v>172</v>
      </c>
    </row>
    <row r="15" spans="1:5" ht="55" customHeight="1" x14ac:dyDescent="0.2">
      <c r="A15" s="5" t="s">
        <v>173</v>
      </c>
      <c r="B15" s="5" t="s">
        <v>174</v>
      </c>
      <c r="C15" s="5" t="s">
        <v>175</v>
      </c>
      <c r="D15" s="5" t="s">
        <v>176</v>
      </c>
      <c r="E15" s="9" t="s">
        <v>177</v>
      </c>
    </row>
    <row r="16" spans="1:5" ht="55" customHeight="1" x14ac:dyDescent="0.2">
      <c r="A16" s="4" t="s">
        <v>178</v>
      </c>
      <c r="B16" s="4" t="s">
        <v>179</v>
      </c>
      <c r="C16" s="4" t="s">
        <v>180</v>
      </c>
      <c r="D16" s="4" t="s">
        <v>181</v>
      </c>
      <c r="E16" s="8" t="s">
        <v>182</v>
      </c>
    </row>
    <row r="19" spans="1:5" ht="17" x14ac:dyDescent="0.2">
      <c r="A19" s="30" t="s">
        <v>183</v>
      </c>
      <c r="B19" s="14"/>
      <c r="C19" s="14"/>
      <c r="D19" s="14"/>
      <c r="E19" s="14"/>
    </row>
    <row r="20" spans="1:5" x14ac:dyDescent="0.2">
      <c r="A20" s="16" t="s">
        <v>184</v>
      </c>
      <c r="B20" s="14"/>
      <c r="C20" s="14"/>
      <c r="D20" s="14"/>
      <c r="E20" s="14"/>
    </row>
    <row r="21" spans="1:5" x14ac:dyDescent="0.2">
      <c r="A21" s="14"/>
      <c r="B21" s="14"/>
      <c r="C21" s="14"/>
      <c r="D21" s="14"/>
      <c r="E21" s="14"/>
    </row>
    <row r="22" spans="1:5" x14ac:dyDescent="0.2">
      <c r="A22" s="14"/>
      <c r="B22" s="14"/>
      <c r="C22" s="14"/>
      <c r="D22" s="14"/>
      <c r="E22" s="14"/>
    </row>
    <row r="23" spans="1:5" x14ac:dyDescent="0.2">
      <c r="A23" s="14"/>
      <c r="B23" s="14"/>
      <c r="C23" s="14"/>
      <c r="D23" s="14"/>
      <c r="E23" s="14"/>
    </row>
  </sheetData>
  <mergeCells count="6">
    <mergeCell ref="A20:E23"/>
    <mergeCell ref="A19:E19"/>
    <mergeCell ref="A5:E5"/>
    <mergeCell ref="A6:E7"/>
    <mergeCell ref="A1:E2"/>
    <mergeCell ref="A3:E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A1:E17"/>
  <sheetViews>
    <sheetView workbookViewId="0"/>
  </sheetViews>
  <sheetFormatPr baseColWidth="10" defaultColWidth="8.83203125" defaultRowHeight="15" x14ac:dyDescent="0.2"/>
  <cols>
    <col min="1" max="1" width="25" customWidth="1"/>
    <col min="2" max="3" width="30" customWidth="1"/>
    <col min="4" max="4" width="20" customWidth="1"/>
    <col min="5" max="5" width="25" customWidth="1"/>
  </cols>
  <sheetData>
    <row r="1" spans="1:5" x14ac:dyDescent="0.2">
      <c r="A1" s="15" t="s">
        <v>185</v>
      </c>
      <c r="B1" s="14"/>
      <c r="C1" s="14"/>
      <c r="D1" s="14"/>
      <c r="E1" s="14"/>
    </row>
    <row r="2" spans="1:5" x14ac:dyDescent="0.2">
      <c r="A2" s="14"/>
      <c r="B2" s="14"/>
      <c r="C2" s="14"/>
      <c r="D2" s="14"/>
      <c r="E2" s="14"/>
    </row>
    <row r="3" spans="1:5" ht="19" x14ac:dyDescent="0.2">
      <c r="A3" s="21" t="s">
        <v>186</v>
      </c>
      <c r="B3" s="14"/>
      <c r="C3" s="14"/>
      <c r="D3" s="14"/>
      <c r="E3" s="14"/>
    </row>
    <row r="5" spans="1:5" ht="21" x14ac:dyDescent="0.25">
      <c r="A5" s="13" t="s">
        <v>187</v>
      </c>
      <c r="B5" s="14"/>
      <c r="C5" s="14"/>
      <c r="D5" s="14"/>
      <c r="E5" s="14"/>
    </row>
    <row r="6" spans="1:5" ht="17" x14ac:dyDescent="0.2">
      <c r="A6" s="3" t="s">
        <v>188</v>
      </c>
      <c r="B6" s="3" t="s">
        <v>189</v>
      </c>
      <c r="C6" s="3" t="s">
        <v>190</v>
      </c>
      <c r="D6" s="3" t="s">
        <v>191</v>
      </c>
      <c r="E6" s="3" t="s">
        <v>192</v>
      </c>
    </row>
    <row r="7" spans="1:5" ht="65" customHeight="1" x14ac:dyDescent="0.2">
      <c r="A7" s="4" t="s">
        <v>193</v>
      </c>
      <c r="B7" s="4" t="s">
        <v>194</v>
      </c>
      <c r="C7" s="4" t="s">
        <v>195</v>
      </c>
      <c r="D7" s="4" t="s">
        <v>196</v>
      </c>
      <c r="E7" s="4" t="s">
        <v>197</v>
      </c>
    </row>
    <row r="8" spans="1:5" ht="65" customHeight="1" x14ac:dyDescent="0.2">
      <c r="A8" s="5" t="s">
        <v>198</v>
      </c>
      <c r="B8" s="5" t="s">
        <v>199</v>
      </c>
      <c r="C8" s="5" t="s">
        <v>200</v>
      </c>
      <c r="D8" s="5" t="s">
        <v>201</v>
      </c>
      <c r="E8" s="5" t="s">
        <v>202</v>
      </c>
    </row>
    <row r="9" spans="1:5" ht="65" customHeight="1" x14ac:dyDescent="0.2">
      <c r="A9" s="4" t="s">
        <v>203</v>
      </c>
      <c r="B9" s="4" t="s">
        <v>204</v>
      </c>
      <c r="C9" s="4" t="s">
        <v>205</v>
      </c>
      <c r="D9" s="4" t="s">
        <v>206</v>
      </c>
      <c r="E9" s="4" t="s">
        <v>207</v>
      </c>
    </row>
    <row r="10" spans="1:5" ht="65" customHeight="1" x14ac:dyDescent="0.2">
      <c r="A10" s="5" t="s">
        <v>208</v>
      </c>
      <c r="B10" s="5" t="s">
        <v>209</v>
      </c>
      <c r="C10" s="5" t="s">
        <v>210</v>
      </c>
      <c r="D10" s="5" t="s">
        <v>211</v>
      </c>
      <c r="E10" s="5" t="s">
        <v>212</v>
      </c>
    </row>
    <row r="11" spans="1:5" ht="65" customHeight="1" x14ac:dyDescent="0.2">
      <c r="A11" s="4" t="s">
        <v>213</v>
      </c>
      <c r="B11" s="4" t="s">
        <v>214</v>
      </c>
      <c r="C11" s="4" t="s">
        <v>215</v>
      </c>
      <c r="D11" s="4" t="s">
        <v>216</v>
      </c>
      <c r="E11" s="4" t="s">
        <v>217</v>
      </c>
    </row>
    <row r="12" spans="1:5" ht="65" customHeight="1" x14ac:dyDescent="0.2">
      <c r="A12" s="5" t="s">
        <v>218</v>
      </c>
      <c r="B12" s="5" t="s">
        <v>219</v>
      </c>
      <c r="C12" s="5" t="s">
        <v>220</v>
      </c>
      <c r="D12" s="5" t="s">
        <v>221</v>
      </c>
      <c r="E12" s="5" t="s">
        <v>222</v>
      </c>
    </row>
    <row r="15" spans="1:5" ht="21" x14ac:dyDescent="0.25">
      <c r="A15" s="13" t="s">
        <v>223</v>
      </c>
      <c r="B15" s="14"/>
      <c r="C15" s="14"/>
      <c r="D15" s="14"/>
      <c r="E15" s="14"/>
    </row>
    <row r="16" spans="1:5" x14ac:dyDescent="0.2">
      <c r="A16" s="16" t="s">
        <v>224</v>
      </c>
      <c r="B16" s="14"/>
      <c r="C16" s="14"/>
      <c r="D16" s="14"/>
      <c r="E16" s="14"/>
    </row>
    <row r="17" spans="1:5" x14ac:dyDescent="0.2">
      <c r="A17" s="14"/>
      <c r="B17" s="14"/>
      <c r="C17" s="14"/>
      <c r="D17" s="14"/>
      <c r="E17" s="14"/>
    </row>
  </sheetData>
  <mergeCells count="5">
    <mergeCell ref="A15:E15"/>
    <mergeCell ref="A16:E17"/>
    <mergeCell ref="A5:E5"/>
    <mergeCell ref="A1:E2"/>
    <mergeCell ref="A3:E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392B"/>
  </sheetPr>
  <dimension ref="A1:D14"/>
  <sheetViews>
    <sheetView workbookViewId="0"/>
  </sheetViews>
  <sheetFormatPr baseColWidth="10" defaultColWidth="8.83203125" defaultRowHeight="15" x14ac:dyDescent="0.2"/>
  <cols>
    <col min="1" max="1" width="20" customWidth="1"/>
    <col min="2" max="3" width="35" customWidth="1"/>
    <col min="4" max="4" width="30" customWidth="1"/>
  </cols>
  <sheetData>
    <row r="1" spans="1:4" x14ac:dyDescent="0.2">
      <c r="A1" s="15" t="s">
        <v>225</v>
      </c>
      <c r="B1" s="14"/>
      <c r="C1" s="14"/>
      <c r="D1" s="14"/>
    </row>
    <row r="2" spans="1:4" x14ac:dyDescent="0.2">
      <c r="A2" s="14"/>
      <c r="B2" s="14"/>
      <c r="C2" s="14"/>
      <c r="D2" s="14"/>
    </row>
    <row r="3" spans="1:4" ht="19" x14ac:dyDescent="0.2">
      <c r="A3" s="21" t="s">
        <v>1</v>
      </c>
      <c r="B3" s="14"/>
      <c r="C3" s="14"/>
      <c r="D3" s="14"/>
    </row>
    <row r="5" spans="1:4" ht="17" x14ac:dyDescent="0.2">
      <c r="A5" s="3" t="s">
        <v>226</v>
      </c>
      <c r="B5" s="3" t="s">
        <v>227</v>
      </c>
      <c r="C5" s="3" t="s">
        <v>228</v>
      </c>
      <c r="D5" s="3" t="s">
        <v>229</v>
      </c>
    </row>
    <row r="6" spans="1:4" ht="40" customHeight="1" x14ac:dyDescent="0.2">
      <c r="A6" s="4" t="s">
        <v>230</v>
      </c>
      <c r="B6" s="4" t="s">
        <v>231</v>
      </c>
      <c r="C6" s="4" t="s">
        <v>232</v>
      </c>
      <c r="D6" s="4" t="s">
        <v>233</v>
      </c>
    </row>
    <row r="7" spans="1:4" ht="40" customHeight="1" x14ac:dyDescent="0.2">
      <c r="A7" s="5" t="s">
        <v>230</v>
      </c>
      <c r="B7" s="5" t="s">
        <v>234</v>
      </c>
      <c r="C7" s="5" t="s">
        <v>235</v>
      </c>
      <c r="D7" s="5" t="s">
        <v>236</v>
      </c>
    </row>
    <row r="8" spans="1:4" ht="40" customHeight="1" x14ac:dyDescent="0.2">
      <c r="A8" s="4" t="s">
        <v>237</v>
      </c>
      <c r="B8" s="4" t="s">
        <v>238</v>
      </c>
      <c r="C8" s="4" t="s">
        <v>239</v>
      </c>
      <c r="D8" s="4" t="s">
        <v>240</v>
      </c>
    </row>
    <row r="9" spans="1:4" ht="40" customHeight="1" x14ac:dyDescent="0.2">
      <c r="A9" s="5" t="s">
        <v>237</v>
      </c>
      <c r="B9" s="5" t="s">
        <v>241</v>
      </c>
      <c r="C9" s="5" t="s">
        <v>232</v>
      </c>
      <c r="D9" s="5" t="s">
        <v>242</v>
      </c>
    </row>
    <row r="10" spans="1:4" ht="40" customHeight="1" x14ac:dyDescent="0.2">
      <c r="A10" s="4" t="s">
        <v>243</v>
      </c>
      <c r="B10" s="4" t="s">
        <v>244</v>
      </c>
      <c r="C10" s="4" t="s">
        <v>235</v>
      </c>
      <c r="D10" s="4" t="s">
        <v>245</v>
      </c>
    </row>
    <row r="11" spans="1:4" ht="40" customHeight="1" x14ac:dyDescent="0.2">
      <c r="A11" s="5" t="s">
        <v>246</v>
      </c>
      <c r="B11" s="5" t="s">
        <v>247</v>
      </c>
      <c r="C11" s="5" t="s">
        <v>248</v>
      </c>
      <c r="D11" s="5" t="s">
        <v>249</v>
      </c>
    </row>
    <row r="12" spans="1:4" ht="40" customHeight="1" x14ac:dyDescent="0.2">
      <c r="A12" s="4" t="s">
        <v>246</v>
      </c>
      <c r="B12" s="4" t="s">
        <v>250</v>
      </c>
      <c r="C12" s="4" t="s">
        <v>239</v>
      </c>
      <c r="D12" s="4" t="s">
        <v>251</v>
      </c>
    </row>
    <row r="13" spans="1:4" ht="40" customHeight="1" x14ac:dyDescent="0.2">
      <c r="A13" s="5" t="s">
        <v>252</v>
      </c>
      <c r="B13" s="5" t="s">
        <v>253</v>
      </c>
      <c r="C13" s="5" t="s">
        <v>248</v>
      </c>
      <c r="D13" s="5" t="s">
        <v>254</v>
      </c>
    </row>
    <row r="14" spans="1:4" ht="40" customHeight="1" x14ac:dyDescent="0.2">
      <c r="A14" s="4" t="s">
        <v>255</v>
      </c>
      <c r="B14" s="4" t="s">
        <v>256</v>
      </c>
      <c r="C14" s="4" t="s">
        <v>232</v>
      </c>
      <c r="D14" s="4" t="s">
        <v>257</v>
      </c>
    </row>
  </sheetData>
  <mergeCells count="2">
    <mergeCell ref="A1:D2"/>
    <mergeCell ref="A3:D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88888"/>
  </sheetPr>
  <dimension ref="A1:I27"/>
  <sheetViews>
    <sheetView topLeftCell="A9" workbookViewId="0">
      <selection activeCell="A25" sqref="A25"/>
    </sheetView>
  </sheetViews>
  <sheetFormatPr baseColWidth="10" defaultColWidth="8.83203125" defaultRowHeight="15" x14ac:dyDescent="0.2"/>
  <cols>
    <col min="1" max="1" width="45" customWidth="1"/>
    <col min="2" max="8" width="18" customWidth="1"/>
    <col min="9" max="9" width="50" customWidth="1"/>
  </cols>
  <sheetData>
    <row r="1" spans="1:9" ht="32" x14ac:dyDescent="0.2">
      <c r="A1" s="31" t="s">
        <v>258</v>
      </c>
      <c r="B1" s="31" t="s">
        <v>259</v>
      </c>
      <c r="C1" s="31" t="s">
        <v>260</v>
      </c>
      <c r="D1" s="31" t="s">
        <v>261</v>
      </c>
      <c r="E1" s="31" t="s">
        <v>262</v>
      </c>
      <c r="F1" s="31" t="s">
        <v>263</v>
      </c>
      <c r="G1" s="31" t="s">
        <v>264</v>
      </c>
      <c r="H1" s="31" t="s">
        <v>265</v>
      </c>
      <c r="I1" s="31" t="s">
        <v>266</v>
      </c>
    </row>
    <row r="2" spans="1:9" ht="30" x14ac:dyDescent="0.2">
      <c r="A2" s="32" t="s">
        <v>267</v>
      </c>
      <c r="B2" s="33">
        <v>10</v>
      </c>
      <c r="C2" s="34">
        <v>9</v>
      </c>
      <c r="D2" s="34">
        <f t="shared" ref="D2:D11" si="0">C2*B2</f>
        <v>90</v>
      </c>
      <c r="E2" s="35">
        <v>2</v>
      </c>
      <c r="F2" s="35">
        <f t="shared" ref="F2:F11" si="1">E2*B2</f>
        <v>20</v>
      </c>
      <c r="G2" s="36">
        <v>6</v>
      </c>
      <c r="H2" s="36">
        <f t="shared" ref="H2:H11" si="2">G2*B2</f>
        <v>60</v>
      </c>
      <c r="I2" s="37" t="s">
        <v>268</v>
      </c>
    </row>
    <row r="3" spans="1:9" ht="60" x14ac:dyDescent="0.2">
      <c r="A3" s="32" t="s">
        <v>269</v>
      </c>
      <c r="B3" s="33">
        <v>7</v>
      </c>
      <c r="C3" s="34">
        <v>10</v>
      </c>
      <c r="D3" s="34">
        <f t="shared" si="0"/>
        <v>70</v>
      </c>
      <c r="E3" s="35">
        <v>2</v>
      </c>
      <c r="F3" s="35">
        <f t="shared" si="1"/>
        <v>14</v>
      </c>
      <c r="G3" s="36">
        <v>7</v>
      </c>
      <c r="H3" s="36">
        <f t="shared" si="2"/>
        <v>49</v>
      </c>
      <c r="I3" s="37" t="s">
        <v>270</v>
      </c>
    </row>
    <row r="4" spans="1:9" ht="30" x14ac:dyDescent="0.2">
      <c r="A4" s="32" t="s">
        <v>271</v>
      </c>
      <c r="B4" s="33">
        <v>8</v>
      </c>
      <c r="C4" s="34">
        <v>9</v>
      </c>
      <c r="D4" s="34">
        <f t="shared" si="0"/>
        <v>72</v>
      </c>
      <c r="E4" s="35">
        <v>3</v>
      </c>
      <c r="F4" s="35">
        <f t="shared" si="1"/>
        <v>24</v>
      </c>
      <c r="G4" s="36">
        <v>7</v>
      </c>
      <c r="H4" s="36">
        <f t="shared" si="2"/>
        <v>56</v>
      </c>
      <c r="I4" s="37" t="s">
        <v>272</v>
      </c>
    </row>
    <row r="5" spans="1:9" ht="30" x14ac:dyDescent="0.2">
      <c r="A5" s="32" t="s">
        <v>273</v>
      </c>
      <c r="B5" s="33">
        <v>8</v>
      </c>
      <c r="C5" s="34">
        <v>10</v>
      </c>
      <c r="D5" s="34">
        <f t="shared" si="0"/>
        <v>80</v>
      </c>
      <c r="E5" s="35">
        <v>3</v>
      </c>
      <c r="F5" s="35">
        <f t="shared" si="1"/>
        <v>24</v>
      </c>
      <c r="G5" s="36">
        <v>8</v>
      </c>
      <c r="H5" s="36">
        <f t="shared" si="2"/>
        <v>64</v>
      </c>
      <c r="I5" s="37" t="s">
        <v>274</v>
      </c>
    </row>
    <row r="6" spans="1:9" ht="30" x14ac:dyDescent="0.2">
      <c r="A6" s="32" t="s">
        <v>275</v>
      </c>
      <c r="B6" s="33">
        <v>6</v>
      </c>
      <c r="C6" s="34">
        <v>5</v>
      </c>
      <c r="D6" s="34">
        <f t="shared" si="0"/>
        <v>30</v>
      </c>
      <c r="E6" s="35">
        <v>9</v>
      </c>
      <c r="F6" s="35">
        <f t="shared" si="1"/>
        <v>54</v>
      </c>
      <c r="G6" s="36">
        <v>8</v>
      </c>
      <c r="H6" s="36">
        <f t="shared" si="2"/>
        <v>48</v>
      </c>
      <c r="I6" s="37" t="s">
        <v>276</v>
      </c>
    </row>
    <row r="7" spans="1:9" ht="45" x14ac:dyDescent="0.2">
      <c r="A7" s="32" t="s">
        <v>277</v>
      </c>
      <c r="B7" s="33">
        <v>4</v>
      </c>
      <c r="C7" s="34">
        <v>7</v>
      </c>
      <c r="D7" s="34">
        <f t="shared" si="0"/>
        <v>28</v>
      </c>
      <c r="E7" s="35">
        <v>8</v>
      </c>
      <c r="F7" s="35">
        <f t="shared" si="1"/>
        <v>32</v>
      </c>
      <c r="G7" s="36">
        <v>5</v>
      </c>
      <c r="H7" s="36">
        <f t="shared" si="2"/>
        <v>20</v>
      </c>
      <c r="I7" s="37" t="s">
        <v>278</v>
      </c>
    </row>
    <row r="8" spans="1:9" ht="30" x14ac:dyDescent="0.2">
      <c r="A8" s="32" t="s">
        <v>279</v>
      </c>
      <c r="B8" s="33">
        <v>7</v>
      </c>
      <c r="C8" s="34">
        <v>8</v>
      </c>
      <c r="D8" s="34">
        <f t="shared" si="0"/>
        <v>56</v>
      </c>
      <c r="E8" s="35">
        <v>2</v>
      </c>
      <c r="F8" s="35">
        <f t="shared" si="1"/>
        <v>14</v>
      </c>
      <c r="G8" s="36">
        <v>6</v>
      </c>
      <c r="H8" s="36">
        <f t="shared" si="2"/>
        <v>42</v>
      </c>
      <c r="I8" s="37" t="s">
        <v>280</v>
      </c>
    </row>
    <row r="9" spans="1:9" ht="30" x14ac:dyDescent="0.2">
      <c r="A9" s="32" t="s">
        <v>281</v>
      </c>
      <c r="B9" s="33">
        <v>5</v>
      </c>
      <c r="C9" s="34">
        <v>3</v>
      </c>
      <c r="D9" s="34">
        <f t="shared" si="0"/>
        <v>15</v>
      </c>
      <c r="E9" s="35">
        <v>9</v>
      </c>
      <c r="F9" s="35">
        <f t="shared" si="1"/>
        <v>45</v>
      </c>
      <c r="G9" s="36">
        <v>8</v>
      </c>
      <c r="H9" s="36">
        <f t="shared" si="2"/>
        <v>40</v>
      </c>
      <c r="I9" s="37" t="s">
        <v>282</v>
      </c>
    </row>
    <row r="10" spans="1:9" ht="30" x14ac:dyDescent="0.2">
      <c r="A10" s="32" t="s">
        <v>283</v>
      </c>
      <c r="B10" s="33">
        <v>9</v>
      </c>
      <c r="C10" s="34">
        <v>9</v>
      </c>
      <c r="D10" s="34">
        <f t="shared" si="0"/>
        <v>81</v>
      </c>
      <c r="E10" s="35">
        <v>3</v>
      </c>
      <c r="F10" s="35">
        <f t="shared" si="1"/>
        <v>27</v>
      </c>
      <c r="G10" s="36">
        <v>7</v>
      </c>
      <c r="H10" s="36">
        <f t="shared" si="2"/>
        <v>63</v>
      </c>
      <c r="I10" s="37" t="s">
        <v>284</v>
      </c>
    </row>
    <row r="11" spans="1:9" ht="30" x14ac:dyDescent="0.2">
      <c r="A11" s="32" t="s">
        <v>285</v>
      </c>
      <c r="B11" s="33">
        <v>10</v>
      </c>
      <c r="C11" s="34">
        <v>10</v>
      </c>
      <c r="D11" s="34">
        <f t="shared" si="0"/>
        <v>100</v>
      </c>
      <c r="E11" s="35">
        <v>2</v>
      </c>
      <c r="F11" s="35">
        <f t="shared" si="1"/>
        <v>20</v>
      </c>
      <c r="G11" s="36">
        <v>6</v>
      </c>
      <c r="H11" s="36">
        <f t="shared" si="2"/>
        <v>60</v>
      </c>
      <c r="I11" s="37" t="s">
        <v>286</v>
      </c>
    </row>
    <row r="12" spans="1:9" ht="16" x14ac:dyDescent="0.2">
      <c r="A12" s="38" t="s">
        <v>287</v>
      </c>
      <c r="D12" s="39">
        <f>SUM(D2:D11)</f>
        <v>622</v>
      </c>
      <c r="F12" s="39">
        <f>SUM(F2:F11)</f>
        <v>274</v>
      </c>
      <c r="H12" s="39">
        <f>SUM(H2:H11)</f>
        <v>502</v>
      </c>
    </row>
    <row r="13" spans="1:9" x14ac:dyDescent="0.2">
      <c r="A13" s="40" t="s">
        <v>288</v>
      </c>
      <c r="D13" s="41">
        <v>740</v>
      </c>
      <c r="F13" s="41">
        <v>740</v>
      </c>
      <c r="H13" s="41">
        <v>740</v>
      </c>
    </row>
    <row r="14" spans="1:9" x14ac:dyDescent="0.2">
      <c r="A14" s="42" t="s">
        <v>296</v>
      </c>
      <c r="D14" s="43">
        <f>D12/D13</f>
        <v>0.8405405405405405</v>
      </c>
      <c r="E14" s="44"/>
      <c r="F14" s="43">
        <f>F12/F13</f>
        <v>0.37027027027027026</v>
      </c>
      <c r="G14" s="44"/>
      <c r="H14" s="43">
        <f>H12/H13</f>
        <v>0.67837837837837833</v>
      </c>
    </row>
    <row r="16" spans="1:9" ht="16" x14ac:dyDescent="0.2">
      <c r="A16" s="45" t="s">
        <v>289</v>
      </c>
    </row>
    <row r="17" spans="1:3" x14ac:dyDescent="0.2">
      <c r="A17" s="42" t="s">
        <v>291</v>
      </c>
      <c r="B17" s="46" t="s">
        <v>290</v>
      </c>
      <c r="C17" t="s">
        <v>297</v>
      </c>
    </row>
    <row r="18" spans="1:3" x14ac:dyDescent="0.2">
      <c r="A18" s="42" t="s">
        <v>298</v>
      </c>
      <c r="B18" s="46" t="s">
        <v>290</v>
      </c>
      <c r="C18" t="s">
        <v>299</v>
      </c>
    </row>
    <row r="19" spans="1:3" x14ac:dyDescent="0.2">
      <c r="A19" s="42" t="s">
        <v>292</v>
      </c>
      <c r="B19" s="46" t="s">
        <v>290</v>
      </c>
      <c r="C19" t="s">
        <v>300</v>
      </c>
    </row>
    <row r="20" spans="1:3" x14ac:dyDescent="0.2">
      <c r="A20" s="42" t="s">
        <v>293</v>
      </c>
      <c r="B20" s="46" t="s">
        <v>290</v>
      </c>
      <c r="C20" t="s">
        <v>301</v>
      </c>
    </row>
    <row r="21" spans="1:3" x14ac:dyDescent="0.2">
      <c r="A21" s="42" t="s">
        <v>302</v>
      </c>
      <c r="B21" s="46" t="s">
        <v>290</v>
      </c>
      <c r="C21" t="s">
        <v>303</v>
      </c>
    </row>
    <row r="23" spans="1:3" x14ac:dyDescent="0.2">
      <c r="A23" s="47" t="s">
        <v>294</v>
      </c>
    </row>
    <row r="24" spans="1:3" ht="48" x14ac:dyDescent="0.2">
      <c r="A24" s="48" t="s">
        <v>304</v>
      </c>
    </row>
    <row r="25" spans="1:3" ht="96" x14ac:dyDescent="0.2">
      <c r="A25" s="48" t="s">
        <v>305</v>
      </c>
    </row>
    <row r="26" spans="1:3" ht="80" x14ac:dyDescent="0.2">
      <c r="A26" s="48" t="s">
        <v>295</v>
      </c>
    </row>
    <row r="27" spans="1:3" ht="64" x14ac:dyDescent="0.2">
      <c r="A27" s="48" t="s">
        <v>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Brand Framework</vt:lpstr>
      <vt:lpstr>The Three Pillars</vt:lpstr>
      <vt:lpstr>Brand Voice</vt:lpstr>
      <vt:lpstr>Niche Strategy</vt:lpstr>
      <vt:lpstr>Competitive Landscape</vt:lpstr>
      <vt:lpstr>Roadmap</vt:lpstr>
      <vt:lpstr>Decision Matrix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Janco Bronkhorst</cp:lastModifiedBy>
  <dcterms:created xsi:type="dcterms:W3CDTF">2026-03-12T00:32:53Z</dcterms:created>
  <dcterms:modified xsi:type="dcterms:W3CDTF">2026-03-12T06:27:30Z</dcterms:modified>
</cp:coreProperties>
</file>